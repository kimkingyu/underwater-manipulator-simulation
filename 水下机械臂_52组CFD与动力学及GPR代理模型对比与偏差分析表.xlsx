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work4\"/>
    </mc:Choice>
  </mc:AlternateContent>
  <xr:revisionPtr revIDLastSave="0" documentId="13_ncr:1_{4447C4EB-FC1A-47A6-A125-1E78D5F699BD}" xr6:coauthVersionLast="47" xr6:coauthVersionMax="47" xr10:uidLastSave="{00000000-0000-0000-0000-000000000000}"/>
  <bookViews>
    <workbookView xWindow="-110" yWindow="-110" windowWidth="38620" windowHeight="21820" xr2:uid="{00000000-000D-0000-FFFF-FFFF00000000}"/>
  </bookViews>
  <sheets>
    <sheet name="0_MATLAB与CFD偏差专表" sheetId="1" r:id="rId1"/>
    <sheet name="1_偏差统计总览_KPI" sheetId="2" r:id="rId2"/>
    <sheet name="2_52组全量工况与偏差明细" sheetId="3" r:id="rId3"/>
    <sheet name="3_9组全因子CFD交叉验证表" sheetId="4" r:id="rId4"/>
    <sheet name="4_流速灵敏度与二次方拟合偏差" sheetId="5" r:id="rId5"/>
    <sheet name="5_流向方位角耦合与转移偏差" sheetId="6" r:id="rId6"/>
    <sheet name="6_CAD迎水面积与Cd标定偏差" sheetId="7" r:id="rId7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6" i="7" l="1"/>
  <c r="I6" i="7"/>
  <c r="L5" i="7"/>
  <c r="I5" i="7"/>
  <c r="L4" i="7"/>
  <c r="I4" i="7"/>
  <c r="M8" i="6"/>
  <c r="H8" i="6"/>
  <c r="G8" i="6"/>
  <c r="E8" i="6"/>
  <c r="D8" i="6"/>
  <c r="M7" i="6"/>
  <c r="H7" i="6"/>
  <c r="G7" i="6"/>
  <c r="E7" i="6"/>
  <c r="D7" i="6"/>
  <c r="M6" i="6"/>
  <c r="H6" i="6"/>
  <c r="G6" i="6"/>
  <c r="E6" i="6"/>
  <c r="D6" i="6"/>
  <c r="M5" i="6"/>
  <c r="H5" i="6"/>
  <c r="G5" i="6"/>
  <c r="E5" i="6"/>
  <c r="D5" i="6"/>
  <c r="M4" i="6"/>
  <c r="H4" i="6"/>
  <c r="G4" i="6"/>
  <c r="E4" i="6"/>
  <c r="D4" i="6"/>
  <c r="N8" i="5"/>
  <c r="M8" i="5"/>
  <c r="D8" i="5"/>
  <c r="E8" i="5" s="1"/>
  <c r="F8" i="5" s="1"/>
  <c r="N7" i="5"/>
  <c r="M7" i="5"/>
  <c r="D7" i="5"/>
  <c r="E7" i="5" s="1"/>
  <c r="F7" i="5" s="1"/>
  <c r="N6" i="5"/>
  <c r="M6" i="5"/>
  <c r="D6" i="5"/>
  <c r="E6" i="5" s="1"/>
  <c r="F6" i="5" s="1"/>
  <c r="N5" i="5"/>
  <c r="M5" i="5"/>
  <c r="D5" i="5"/>
  <c r="E5" i="5" s="1"/>
  <c r="F5" i="5" s="1"/>
  <c r="N4" i="5"/>
  <c r="M4" i="5"/>
  <c r="D4" i="5"/>
  <c r="E4" i="5" s="1"/>
  <c r="F4" i="5" s="1"/>
  <c r="M15" i="4"/>
  <c r="L15" i="4"/>
  <c r="I15" i="4"/>
  <c r="H15" i="4"/>
  <c r="E15" i="4"/>
  <c r="D15" i="4"/>
  <c r="M14" i="4"/>
  <c r="L14" i="4"/>
  <c r="I14" i="4"/>
  <c r="H14" i="4"/>
  <c r="E14" i="4"/>
  <c r="D14" i="4"/>
  <c r="M13" i="4"/>
  <c r="L13" i="4"/>
  <c r="I13" i="4"/>
  <c r="H13" i="4"/>
  <c r="E13" i="4"/>
  <c r="D13" i="4"/>
  <c r="O12" i="4"/>
  <c r="N12" i="4"/>
  <c r="K12" i="4"/>
  <c r="J12" i="4"/>
  <c r="G12" i="4"/>
  <c r="F12" i="4"/>
  <c r="O11" i="4"/>
  <c r="N11" i="4"/>
  <c r="K11" i="4"/>
  <c r="J11" i="4"/>
  <c r="G11" i="4"/>
  <c r="F11" i="4"/>
  <c r="O10" i="4"/>
  <c r="N10" i="4"/>
  <c r="K10" i="4"/>
  <c r="J10" i="4"/>
  <c r="G10" i="4"/>
  <c r="F10" i="4"/>
  <c r="O9" i="4"/>
  <c r="N9" i="4"/>
  <c r="K9" i="4"/>
  <c r="J9" i="4"/>
  <c r="G9" i="4"/>
  <c r="F9" i="4"/>
  <c r="O8" i="4"/>
  <c r="N8" i="4"/>
  <c r="K8" i="4"/>
  <c r="J8" i="4"/>
  <c r="G8" i="4"/>
  <c r="F8" i="4"/>
  <c r="O7" i="4"/>
  <c r="N7" i="4"/>
  <c r="K7" i="4"/>
  <c r="J7" i="4"/>
  <c r="G7" i="4"/>
  <c r="F7" i="4"/>
  <c r="O6" i="4"/>
  <c r="N6" i="4"/>
  <c r="K6" i="4"/>
  <c r="J6" i="4"/>
  <c r="G6" i="4"/>
  <c r="F6" i="4"/>
  <c r="O5" i="4"/>
  <c r="N5" i="4"/>
  <c r="K5" i="4"/>
  <c r="J5" i="4"/>
  <c r="G5" i="4"/>
  <c r="F5" i="4"/>
  <c r="O4" i="4"/>
  <c r="O14" i="4" s="1"/>
  <c r="N4" i="4"/>
  <c r="K4" i="4"/>
  <c r="J4" i="4"/>
  <c r="G4" i="4"/>
  <c r="P4" i="4" s="1"/>
  <c r="F4" i="4"/>
  <c r="AA62" i="3"/>
  <c r="W62" i="3"/>
  <c r="V62" i="3"/>
  <c r="R62" i="3"/>
  <c r="N62" i="3"/>
  <c r="M62" i="3"/>
  <c r="B7" i="2" s="1"/>
  <c r="I62" i="3"/>
  <c r="E62" i="3"/>
  <c r="D62" i="3"/>
  <c r="B6" i="2" s="1"/>
  <c r="AA61" i="3"/>
  <c r="W61" i="3"/>
  <c r="V61" i="3"/>
  <c r="R61" i="3"/>
  <c r="N61" i="3"/>
  <c r="M61" i="3"/>
  <c r="I61" i="3"/>
  <c r="E61" i="3"/>
  <c r="D61" i="3"/>
  <c r="AA60" i="3"/>
  <c r="W60" i="3"/>
  <c r="V60" i="3"/>
  <c r="R60" i="3"/>
  <c r="N60" i="3"/>
  <c r="M60" i="3"/>
  <c r="I60" i="3"/>
  <c r="E60" i="3"/>
  <c r="D60" i="3"/>
  <c r="AA59" i="3"/>
  <c r="W59" i="3"/>
  <c r="V59" i="3"/>
  <c r="R59" i="3"/>
  <c r="N59" i="3"/>
  <c r="M59" i="3"/>
  <c r="I59" i="3"/>
  <c r="E59" i="3"/>
  <c r="D59" i="3"/>
  <c r="AA58" i="3"/>
  <c r="W58" i="3"/>
  <c r="V58" i="3"/>
  <c r="R58" i="3"/>
  <c r="N58" i="3"/>
  <c r="M58" i="3"/>
  <c r="I58" i="3"/>
  <c r="E58" i="3"/>
  <c r="D58" i="3"/>
  <c r="AA57" i="3"/>
  <c r="W57" i="3"/>
  <c r="V57" i="3"/>
  <c r="R57" i="3"/>
  <c r="N57" i="3"/>
  <c r="M57" i="3"/>
  <c r="I57" i="3"/>
  <c r="E57" i="3"/>
  <c r="D57" i="3"/>
  <c r="AB56" i="3"/>
  <c r="Y56" i="3"/>
  <c r="Z56" i="3" s="1"/>
  <c r="X56" i="3"/>
  <c r="S56" i="3"/>
  <c r="P56" i="3"/>
  <c r="Q56" i="3" s="1"/>
  <c r="O56" i="3"/>
  <c r="J56" i="3"/>
  <c r="K56" i="3" s="1"/>
  <c r="G56" i="3"/>
  <c r="H56" i="3" s="1"/>
  <c r="F56" i="3"/>
  <c r="AC55" i="3"/>
  <c r="AB55" i="3"/>
  <c r="Y55" i="3"/>
  <c r="Z55" i="3" s="1"/>
  <c r="X55" i="3"/>
  <c r="S55" i="3"/>
  <c r="P55" i="3"/>
  <c r="Q55" i="3" s="1"/>
  <c r="O55" i="3"/>
  <c r="J55" i="3"/>
  <c r="G55" i="3"/>
  <c r="F55" i="3"/>
  <c r="AB54" i="3"/>
  <c r="Y54" i="3"/>
  <c r="Z54" i="3" s="1"/>
  <c r="X54" i="3"/>
  <c r="S54" i="3"/>
  <c r="P54" i="3"/>
  <c r="Q54" i="3" s="1"/>
  <c r="O54" i="3"/>
  <c r="J54" i="3"/>
  <c r="K54" i="3" s="1"/>
  <c r="G54" i="3"/>
  <c r="F54" i="3"/>
  <c r="AB53" i="3"/>
  <c r="Y53" i="3"/>
  <c r="Z53" i="3" s="1"/>
  <c r="X53" i="3"/>
  <c r="S53" i="3"/>
  <c r="T53" i="3" s="1"/>
  <c r="P53" i="3"/>
  <c r="O53" i="3"/>
  <c r="J53" i="3"/>
  <c r="G53" i="3"/>
  <c r="H53" i="3" s="1"/>
  <c r="F53" i="3"/>
  <c r="AB52" i="3"/>
  <c r="Y52" i="3"/>
  <c r="Z52" i="3" s="1"/>
  <c r="X52" i="3"/>
  <c r="S52" i="3"/>
  <c r="P52" i="3"/>
  <c r="Q52" i="3" s="1"/>
  <c r="O52" i="3"/>
  <c r="J52" i="3"/>
  <c r="K52" i="3" s="1"/>
  <c r="G52" i="3"/>
  <c r="H52" i="3" s="1"/>
  <c r="F52" i="3"/>
  <c r="AB51" i="3"/>
  <c r="AC51" i="3" s="1"/>
  <c r="Y51" i="3"/>
  <c r="Z51" i="3" s="1"/>
  <c r="X51" i="3"/>
  <c r="S51" i="3"/>
  <c r="U51" i="3" s="1"/>
  <c r="P51" i="3"/>
  <c r="Q51" i="3" s="1"/>
  <c r="O51" i="3"/>
  <c r="J51" i="3"/>
  <c r="G51" i="3"/>
  <c r="AE51" i="3" s="1"/>
  <c r="F51" i="3"/>
  <c r="AB50" i="3"/>
  <c r="AC50" i="3" s="1"/>
  <c r="Y50" i="3"/>
  <c r="Z50" i="3" s="1"/>
  <c r="X50" i="3"/>
  <c r="S50" i="3"/>
  <c r="T50" i="3" s="1"/>
  <c r="P50" i="3"/>
  <c r="U50" i="3" s="1"/>
  <c r="O50" i="3"/>
  <c r="J50" i="3"/>
  <c r="K50" i="3" s="1"/>
  <c r="G50" i="3"/>
  <c r="H50" i="3" s="1"/>
  <c r="F50" i="3"/>
  <c r="AB49" i="3"/>
  <c r="Y49" i="3"/>
  <c r="X49" i="3"/>
  <c r="S49" i="3"/>
  <c r="T49" i="3" s="1"/>
  <c r="P49" i="3"/>
  <c r="Q49" i="3" s="1"/>
  <c r="O49" i="3"/>
  <c r="J49" i="3"/>
  <c r="L49" i="3" s="1"/>
  <c r="H49" i="3"/>
  <c r="G49" i="3"/>
  <c r="F49" i="3"/>
  <c r="AB48" i="3"/>
  <c r="Y48" i="3"/>
  <c r="Z48" i="3" s="1"/>
  <c r="X48" i="3"/>
  <c r="S48" i="3"/>
  <c r="T48" i="3" s="1"/>
  <c r="P48" i="3"/>
  <c r="Q48" i="3" s="1"/>
  <c r="O48" i="3"/>
  <c r="J48" i="3"/>
  <c r="G48" i="3"/>
  <c r="F48" i="3"/>
  <c r="AB47" i="3"/>
  <c r="AC47" i="3" s="1"/>
  <c r="Y47" i="3"/>
  <c r="Z47" i="3" s="1"/>
  <c r="X47" i="3"/>
  <c r="S47" i="3"/>
  <c r="P47" i="3"/>
  <c r="Q47" i="3" s="1"/>
  <c r="O47" i="3"/>
  <c r="J47" i="3"/>
  <c r="K47" i="3" s="1"/>
  <c r="G47" i="3"/>
  <c r="F47" i="3"/>
  <c r="AB46" i="3"/>
  <c r="AC46" i="3" s="1"/>
  <c r="Y46" i="3"/>
  <c r="AD46" i="3" s="1"/>
  <c r="X46" i="3"/>
  <c r="S46" i="3"/>
  <c r="P46" i="3"/>
  <c r="Q46" i="3" s="1"/>
  <c r="O46" i="3"/>
  <c r="J46" i="3"/>
  <c r="G46" i="3"/>
  <c r="H46" i="3" s="1"/>
  <c r="F46" i="3"/>
  <c r="AB45" i="3"/>
  <c r="AC45" i="3" s="1"/>
  <c r="Y45" i="3"/>
  <c r="Z45" i="3" s="1"/>
  <c r="X45" i="3"/>
  <c r="S45" i="3"/>
  <c r="P45" i="3"/>
  <c r="Q45" i="3" s="1"/>
  <c r="O45" i="3"/>
  <c r="J45" i="3"/>
  <c r="L45" i="3" s="1"/>
  <c r="G45" i="3"/>
  <c r="H45" i="3" s="1"/>
  <c r="F45" i="3"/>
  <c r="AB44" i="3"/>
  <c r="AC44" i="3" s="1"/>
  <c r="Y44" i="3"/>
  <c r="AD44" i="3" s="1"/>
  <c r="X44" i="3"/>
  <c r="S44" i="3"/>
  <c r="T44" i="3" s="1"/>
  <c r="P44" i="3"/>
  <c r="Q44" i="3" s="1"/>
  <c r="O44" i="3"/>
  <c r="J44" i="3"/>
  <c r="G44" i="3"/>
  <c r="H44" i="3" s="1"/>
  <c r="F44" i="3"/>
  <c r="AB43" i="3"/>
  <c r="AC43" i="3" s="1"/>
  <c r="Y43" i="3"/>
  <c r="Z43" i="3" s="1"/>
  <c r="X43" i="3"/>
  <c r="S43" i="3"/>
  <c r="P43" i="3"/>
  <c r="Q43" i="3" s="1"/>
  <c r="O43" i="3"/>
  <c r="J43" i="3"/>
  <c r="G43" i="3"/>
  <c r="F43" i="3"/>
  <c r="AB42" i="3"/>
  <c r="Y42" i="3"/>
  <c r="Z42" i="3" s="1"/>
  <c r="X42" i="3"/>
  <c r="S42" i="3"/>
  <c r="P42" i="3"/>
  <c r="Q42" i="3" s="1"/>
  <c r="O42" i="3"/>
  <c r="K42" i="3"/>
  <c r="J42" i="3"/>
  <c r="G42" i="3"/>
  <c r="L42" i="3" s="1"/>
  <c r="F42" i="3"/>
  <c r="AB41" i="3"/>
  <c r="AC41" i="3" s="1"/>
  <c r="Y41" i="3"/>
  <c r="Z41" i="3" s="1"/>
  <c r="X41" i="3"/>
  <c r="S41" i="3"/>
  <c r="T41" i="3" s="1"/>
  <c r="P41" i="3"/>
  <c r="Q41" i="3" s="1"/>
  <c r="O41" i="3"/>
  <c r="J41" i="3"/>
  <c r="G41" i="3"/>
  <c r="F41" i="3"/>
  <c r="AB40" i="3"/>
  <c r="Y40" i="3"/>
  <c r="Z40" i="3" s="1"/>
  <c r="X40" i="3"/>
  <c r="S40" i="3"/>
  <c r="P40" i="3"/>
  <c r="Q40" i="3" s="1"/>
  <c r="O40" i="3"/>
  <c r="J40" i="3"/>
  <c r="G40" i="3"/>
  <c r="AE40" i="3" s="1"/>
  <c r="F40" i="3"/>
  <c r="AB39" i="3"/>
  <c r="AC39" i="3" s="1"/>
  <c r="Y39" i="3"/>
  <c r="AD39" i="3" s="1"/>
  <c r="X39" i="3"/>
  <c r="S39" i="3"/>
  <c r="P39" i="3"/>
  <c r="Q39" i="3" s="1"/>
  <c r="O39" i="3"/>
  <c r="J39" i="3"/>
  <c r="G39" i="3"/>
  <c r="F39" i="3"/>
  <c r="AB38" i="3"/>
  <c r="AC38" i="3" s="1"/>
  <c r="Y38" i="3"/>
  <c r="Z38" i="3" s="1"/>
  <c r="X38" i="3"/>
  <c r="S38" i="3"/>
  <c r="P38" i="3"/>
  <c r="Q38" i="3" s="1"/>
  <c r="O38" i="3"/>
  <c r="J38" i="3"/>
  <c r="G38" i="3"/>
  <c r="H38" i="3" s="1"/>
  <c r="F38" i="3"/>
  <c r="AB37" i="3"/>
  <c r="AC37" i="3" s="1"/>
  <c r="Y37" i="3"/>
  <c r="Z37" i="3" s="1"/>
  <c r="X37" i="3"/>
  <c r="S37" i="3"/>
  <c r="AF37" i="3" s="1"/>
  <c r="P37" i="3"/>
  <c r="Q37" i="3" s="1"/>
  <c r="O37" i="3"/>
  <c r="J37" i="3"/>
  <c r="K37" i="3" s="1"/>
  <c r="G37" i="3"/>
  <c r="F37" i="3"/>
  <c r="AB36" i="3"/>
  <c r="Y36" i="3"/>
  <c r="Z36" i="3" s="1"/>
  <c r="X36" i="3"/>
  <c r="S36" i="3"/>
  <c r="T36" i="3" s="1"/>
  <c r="P36" i="3"/>
  <c r="U36" i="3" s="1"/>
  <c r="O36" i="3"/>
  <c r="J36" i="3"/>
  <c r="K36" i="3" s="1"/>
  <c r="H36" i="3"/>
  <c r="G36" i="3"/>
  <c r="F36" i="3"/>
  <c r="AB35" i="3"/>
  <c r="AC35" i="3" s="1"/>
  <c r="Y35" i="3"/>
  <c r="Z35" i="3" s="1"/>
  <c r="X35" i="3"/>
  <c r="S35" i="3"/>
  <c r="Q35" i="3"/>
  <c r="P35" i="3"/>
  <c r="O35" i="3"/>
  <c r="J35" i="3"/>
  <c r="G35" i="3"/>
  <c r="F35" i="3"/>
  <c r="AB34" i="3"/>
  <c r="Y34" i="3"/>
  <c r="Z34" i="3" s="1"/>
  <c r="X34" i="3"/>
  <c r="S34" i="3"/>
  <c r="P34" i="3"/>
  <c r="Q34" i="3" s="1"/>
  <c r="O34" i="3"/>
  <c r="K34" i="3"/>
  <c r="J34" i="3"/>
  <c r="G34" i="3"/>
  <c r="H34" i="3" s="1"/>
  <c r="F34" i="3"/>
  <c r="AB33" i="3"/>
  <c r="Y33" i="3"/>
  <c r="Z33" i="3" s="1"/>
  <c r="X33" i="3"/>
  <c r="S33" i="3"/>
  <c r="P33" i="3"/>
  <c r="O33" i="3"/>
  <c r="J33" i="3"/>
  <c r="G33" i="3"/>
  <c r="H33" i="3" s="1"/>
  <c r="F33" i="3"/>
  <c r="AB32" i="3"/>
  <c r="Y32" i="3"/>
  <c r="Z32" i="3" s="1"/>
  <c r="X32" i="3"/>
  <c r="S32" i="3"/>
  <c r="P32" i="3"/>
  <c r="Q32" i="3" s="1"/>
  <c r="O32" i="3"/>
  <c r="K32" i="3"/>
  <c r="J32" i="3"/>
  <c r="G32" i="3"/>
  <c r="H32" i="3" s="1"/>
  <c r="F32" i="3"/>
  <c r="AB31" i="3"/>
  <c r="AC31" i="3" s="1"/>
  <c r="Y31" i="3"/>
  <c r="Z31" i="3" s="1"/>
  <c r="X31" i="3"/>
  <c r="S31" i="3"/>
  <c r="P31" i="3"/>
  <c r="Q31" i="3" s="1"/>
  <c r="O31" i="3"/>
  <c r="J31" i="3"/>
  <c r="K31" i="3" s="1"/>
  <c r="G31" i="3"/>
  <c r="F31" i="3"/>
  <c r="AB30" i="3"/>
  <c r="AC30" i="3" s="1"/>
  <c r="Y30" i="3"/>
  <c r="X30" i="3"/>
  <c r="S30" i="3"/>
  <c r="T30" i="3" s="1"/>
  <c r="Q30" i="3"/>
  <c r="P30" i="3"/>
  <c r="O30" i="3"/>
  <c r="J30" i="3"/>
  <c r="K30" i="3" s="1"/>
  <c r="G30" i="3"/>
  <c r="H30" i="3" s="1"/>
  <c r="F30" i="3"/>
  <c r="AB29" i="3"/>
  <c r="Z29" i="3"/>
  <c r="Y29" i="3"/>
  <c r="X29" i="3"/>
  <c r="S29" i="3"/>
  <c r="T29" i="3" s="1"/>
  <c r="P29" i="3"/>
  <c r="Q29" i="3" s="1"/>
  <c r="O29" i="3"/>
  <c r="J29" i="3"/>
  <c r="G29" i="3"/>
  <c r="H29" i="3" s="1"/>
  <c r="F29" i="3"/>
  <c r="AB28" i="3"/>
  <c r="Y28" i="3"/>
  <c r="Z28" i="3" s="1"/>
  <c r="X28" i="3"/>
  <c r="S28" i="3"/>
  <c r="P28" i="3"/>
  <c r="Q28" i="3" s="1"/>
  <c r="O28" i="3"/>
  <c r="J28" i="3"/>
  <c r="G28" i="3"/>
  <c r="F28" i="3"/>
  <c r="AB27" i="3"/>
  <c r="AC27" i="3" s="1"/>
  <c r="Y27" i="3"/>
  <c r="Z27" i="3" s="1"/>
  <c r="X27" i="3"/>
  <c r="S27" i="3"/>
  <c r="P27" i="3"/>
  <c r="Q27" i="3" s="1"/>
  <c r="O27" i="3"/>
  <c r="J27" i="3"/>
  <c r="K27" i="3" s="1"/>
  <c r="G27" i="3"/>
  <c r="H27" i="3" s="1"/>
  <c r="F27" i="3"/>
  <c r="AB26" i="3"/>
  <c r="AC26" i="3" s="1"/>
  <c r="Y26" i="3"/>
  <c r="AE26" i="3" s="1"/>
  <c r="X26" i="3"/>
  <c r="S26" i="3"/>
  <c r="U26" i="3" s="1"/>
  <c r="P26" i="3"/>
  <c r="Q26" i="3" s="1"/>
  <c r="O26" i="3"/>
  <c r="J26" i="3"/>
  <c r="G26" i="3"/>
  <c r="H26" i="3" s="1"/>
  <c r="F26" i="3"/>
  <c r="AB25" i="3"/>
  <c r="AC25" i="3" s="1"/>
  <c r="Y25" i="3"/>
  <c r="Z25" i="3" s="1"/>
  <c r="X25" i="3"/>
  <c r="S25" i="3"/>
  <c r="P25" i="3"/>
  <c r="O25" i="3"/>
  <c r="J25" i="3"/>
  <c r="G25" i="3"/>
  <c r="H25" i="3" s="1"/>
  <c r="F25" i="3"/>
  <c r="AB24" i="3"/>
  <c r="AC24" i="3" s="1"/>
  <c r="Y24" i="3"/>
  <c r="AD24" i="3" s="1"/>
  <c r="X24" i="3"/>
  <c r="S24" i="3"/>
  <c r="T24" i="3" s="1"/>
  <c r="P24" i="3"/>
  <c r="Q24" i="3" s="1"/>
  <c r="O24" i="3"/>
  <c r="J24" i="3"/>
  <c r="AF24" i="3" s="1"/>
  <c r="G24" i="3"/>
  <c r="F24" i="3"/>
  <c r="AB23" i="3"/>
  <c r="AC23" i="3" s="1"/>
  <c r="Y23" i="3"/>
  <c r="Z23" i="3" s="1"/>
  <c r="X23" i="3"/>
  <c r="S23" i="3"/>
  <c r="P23" i="3"/>
  <c r="Q23" i="3" s="1"/>
  <c r="O23" i="3"/>
  <c r="J23" i="3"/>
  <c r="K23" i="3" s="1"/>
  <c r="G23" i="3"/>
  <c r="L23" i="3" s="1"/>
  <c r="F23" i="3"/>
  <c r="AB22" i="3"/>
  <c r="AC22" i="3" s="1"/>
  <c r="Y22" i="3"/>
  <c r="Z22" i="3" s="1"/>
  <c r="X22" i="3"/>
  <c r="S22" i="3"/>
  <c r="P22" i="3"/>
  <c r="Q22" i="3" s="1"/>
  <c r="O22" i="3"/>
  <c r="J22" i="3"/>
  <c r="L22" i="3" s="1"/>
  <c r="G22" i="3"/>
  <c r="F22" i="3"/>
  <c r="AB21" i="3"/>
  <c r="AC21" i="3" s="1"/>
  <c r="Y21" i="3"/>
  <c r="Z21" i="3" s="1"/>
  <c r="X21" i="3"/>
  <c r="S21" i="3"/>
  <c r="T21" i="3" s="1"/>
  <c r="P21" i="3"/>
  <c r="Q21" i="3" s="1"/>
  <c r="O21" i="3"/>
  <c r="J21" i="3"/>
  <c r="AF21" i="3" s="1"/>
  <c r="G21" i="3"/>
  <c r="F21" i="3"/>
  <c r="AB20" i="3"/>
  <c r="AC20" i="3" s="1"/>
  <c r="Y20" i="3"/>
  <c r="Z20" i="3" s="1"/>
  <c r="X20" i="3"/>
  <c r="S20" i="3"/>
  <c r="P20" i="3"/>
  <c r="O20" i="3"/>
  <c r="J20" i="3"/>
  <c r="K20" i="3" s="1"/>
  <c r="G20" i="3"/>
  <c r="H20" i="3" s="1"/>
  <c r="F20" i="3"/>
  <c r="AB19" i="3"/>
  <c r="Y19" i="3"/>
  <c r="Z19" i="3" s="1"/>
  <c r="X19" i="3"/>
  <c r="S19" i="3"/>
  <c r="P19" i="3"/>
  <c r="Q19" i="3" s="1"/>
  <c r="O19" i="3"/>
  <c r="J19" i="3"/>
  <c r="G19" i="3"/>
  <c r="F19" i="3"/>
  <c r="AB18" i="3"/>
  <c r="AC18" i="3" s="1"/>
  <c r="Y18" i="3"/>
  <c r="Z18" i="3" s="1"/>
  <c r="X18" i="3"/>
  <c r="S18" i="3"/>
  <c r="Q18" i="3"/>
  <c r="P18" i="3"/>
  <c r="O18" i="3"/>
  <c r="J18" i="3"/>
  <c r="G18" i="3"/>
  <c r="AE18" i="3" s="1"/>
  <c r="F18" i="3"/>
  <c r="AB17" i="3"/>
  <c r="Y17" i="3"/>
  <c r="Z17" i="3" s="1"/>
  <c r="X17" i="3"/>
  <c r="S17" i="3"/>
  <c r="T17" i="3" s="1"/>
  <c r="P17" i="3"/>
  <c r="Q17" i="3" s="1"/>
  <c r="O17" i="3"/>
  <c r="J17" i="3"/>
  <c r="K17" i="3" s="1"/>
  <c r="G17" i="3"/>
  <c r="F17" i="3"/>
  <c r="AB16" i="3"/>
  <c r="Y16" i="3"/>
  <c r="Z16" i="3" s="1"/>
  <c r="X16" i="3"/>
  <c r="S16" i="3"/>
  <c r="P16" i="3"/>
  <c r="Q16" i="3" s="1"/>
  <c r="O16" i="3"/>
  <c r="J16" i="3"/>
  <c r="K16" i="3" s="1"/>
  <c r="G16" i="3"/>
  <c r="H16" i="3" s="1"/>
  <c r="F16" i="3"/>
  <c r="AB15" i="3"/>
  <c r="AC15" i="3" s="1"/>
  <c r="Y15" i="3"/>
  <c r="X15" i="3"/>
  <c r="S15" i="3"/>
  <c r="P15" i="3"/>
  <c r="Q15" i="3" s="1"/>
  <c r="O15" i="3"/>
  <c r="L15" i="3"/>
  <c r="J15" i="3"/>
  <c r="G15" i="3"/>
  <c r="F15" i="3"/>
  <c r="AB14" i="3"/>
  <c r="AC14" i="3" s="1"/>
  <c r="Y14" i="3"/>
  <c r="Z14" i="3" s="1"/>
  <c r="X14" i="3"/>
  <c r="S14" i="3"/>
  <c r="P14" i="3"/>
  <c r="Q14" i="3" s="1"/>
  <c r="O14" i="3"/>
  <c r="J14" i="3"/>
  <c r="K14" i="3" s="1"/>
  <c r="G14" i="3"/>
  <c r="F14" i="3"/>
  <c r="AB13" i="3"/>
  <c r="AC13" i="3" s="1"/>
  <c r="Y13" i="3"/>
  <c r="Z13" i="3" s="1"/>
  <c r="X13" i="3"/>
  <c r="S13" i="3"/>
  <c r="T13" i="3" s="1"/>
  <c r="P13" i="3"/>
  <c r="Q13" i="3" s="1"/>
  <c r="O13" i="3"/>
  <c r="J13" i="3"/>
  <c r="G13" i="3"/>
  <c r="H13" i="3" s="1"/>
  <c r="F13" i="3"/>
  <c r="AB12" i="3"/>
  <c r="AC12" i="3" s="1"/>
  <c r="Y12" i="3"/>
  <c r="AD12" i="3" s="1"/>
  <c r="X12" i="3"/>
  <c r="S12" i="3"/>
  <c r="AF12" i="3" s="1"/>
  <c r="P12" i="3"/>
  <c r="O12" i="3"/>
  <c r="J12" i="3"/>
  <c r="L12" i="3" s="1"/>
  <c r="G12" i="3"/>
  <c r="H12" i="3" s="1"/>
  <c r="F12" i="3"/>
  <c r="AB11" i="3"/>
  <c r="AC11" i="3" s="1"/>
  <c r="Y11" i="3"/>
  <c r="Z11" i="3" s="1"/>
  <c r="X11" i="3"/>
  <c r="S11" i="3"/>
  <c r="U11" i="3" s="1"/>
  <c r="P11" i="3"/>
  <c r="Q11" i="3" s="1"/>
  <c r="O11" i="3"/>
  <c r="J11" i="3"/>
  <c r="G11" i="3"/>
  <c r="F11" i="3"/>
  <c r="AB10" i="3"/>
  <c r="AC10" i="3" s="1"/>
  <c r="Y10" i="3"/>
  <c r="AD10" i="3" s="1"/>
  <c r="X10" i="3"/>
  <c r="S10" i="3"/>
  <c r="T10" i="3" s="1"/>
  <c r="P10" i="3"/>
  <c r="U10" i="3" s="1"/>
  <c r="O10" i="3"/>
  <c r="J10" i="3"/>
  <c r="K10" i="3" s="1"/>
  <c r="G10" i="3"/>
  <c r="H10" i="3" s="1"/>
  <c r="F10" i="3"/>
  <c r="AB9" i="3"/>
  <c r="Y9" i="3"/>
  <c r="X9" i="3"/>
  <c r="S9" i="3"/>
  <c r="T9" i="3" s="1"/>
  <c r="P9" i="3"/>
  <c r="Q9" i="3" s="1"/>
  <c r="O9" i="3"/>
  <c r="J9" i="3"/>
  <c r="L9" i="3" s="1"/>
  <c r="H9" i="3"/>
  <c r="G9" i="3"/>
  <c r="F9" i="3"/>
  <c r="AB8" i="3"/>
  <c r="Y8" i="3"/>
  <c r="Z8" i="3" s="1"/>
  <c r="X8" i="3"/>
  <c r="S8" i="3"/>
  <c r="P8" i="3"/>
  <c r="Q8" i="3" s="1"/>
  <c r="O8" i="3"/>
  <c r="J8" i="3"/>
  <c r="G8" i="3"/>
  <c r="F8" i="3"/>
  <c r="AB7" i="3"/>
  <c r="Y7" i="3"/>
  <c r="Z7" i="3" s="1"/>
  <c r="X7" i="3"/>
  <c r="S7" i="3"/>
  <c r="P7" i="3"/>
  <c r="Q7" i="3" s="1"/>
  <c r="O7" i="3"/>
  <c r="J7" i="3"/>
  <c r="K7" i="3" s="1"/>
  <c r="G7" i="3"/>
  <c r="F7" i="3"/>
  <c r="AB6" i="3"/>
  <c r="Y6" i="3"/>
  <c r="Z6" i="3" s="1"/>
  <c r="X6" i="3"/>
  <c r="S6" i="3"/>
  <c r="T6" i="3" s="1"/>
  <c r="P6" i="3"/>
  <c r="Q6" i="3" s="1"/>
  <c r="O6" i="3"/>
  <c r="J6" i="3"/>
  <c r="G6" i="3"/>
  <c r="F6" i="3"/>
  <c r="AB5" i="3"/>
  <c r="Y5" i="3"/>
  <c r="Z5" i="3" s="1"/>
  <c r="X5" i="3"/>
  <c r="S5" i="3"/>
  <c r="P5" i="3"/>
  <c r="Q5" i="3" s="1"/>
  <c r="O5" i="3"/>
  <c r="K5" i="3"/>
  <c r="J5" i="3"/>
  <c r="G5" i="3"/>
  <c r="F5" i="3"/>
  <c r="B15" i="2"/>
  <c r="B14" i="2"/>
  <c r="B13" i="2"/>
  <c r="B8" i="2"/>
  <c r="K60" i="1"/>
  <c r="J60" i="1"/>
  <c r="H60" i="1"/>
  <c r="G60" i="1"/>
  <c r="E60" i="1"/>
  <c r="D60" i="1"/>
  <c r="K59" i="1"/>
  <c r="J59" i="1"/>
  <c r="H59" i="1"/>
  <c r="G59" i="1"/>
  <c r="E59" i="1"/>
  <c r="D59" i="1"/>
  <c r="K58" i="1"/>
  <c r="J58" i="1"/>
  <c r="H58" i="1"/>
  <c r="G58" i="1"/>
  <c r="E58" i="1"/>
  <c r="D58" i="1"/>
  <c r="K57" i="1"/>
  <c r="J57" i="1"/>
  <c r="H57" i="1"/>
  <c r="G57" i="1"/>
  <c r="E57" i="1"/>
  <c r="D57" i="1"/>
  <c r="L56" i="1"/>
  <c r="I56" i="1"/>
  <c r="F56" i="1"/>
  <c r="L55" i="1"/>
  <c r="I55" i="1"/>
  <c r="F55" i="1"/>
  <c r="M55" i="1" s="1"/>
  <c r="L54" i="1"/>
  <c r="I54" i="1"/>
  <c r="F54" i="1"/>
  <c r="L53" i="1"/>
  <c r="I53" i="1"/>
  <c r="F53" i="1"/>
  <c r="L52" i="1"/>
  <c r="I52" i="1"/>
  <c r="F52" i="1"/>
  <c r="L51" i="1"/>
  <c r="I51" i="1"/>
  <c r="F51" i="1"/>
  <c r="M51" i="1" s="1"/>
  <c r="L50" i="1"/>
  <c r="I50" i="1"/>
  <c r="F50" i="1"/>
  <c r="L49" i="1"/>
  <c r="I49" i="1"/>
  <c r="F49" i="1"/>
  <c r="L48" i="1"/>
  <c r="I48" i="1"/>
  <c r="F48" i="1"/>
  <c r="L47" i="1"/>
  <c r="I47" i="1"/>
  <c r="F47" i="1"/>
  <c r="L46" i="1"/>
  <c r="I46" i="1"/>
  <c r="F46" i="1"/>
  <c r="L45" i="1"/>
  <c r="I45" i="1"/>
  <c r="F45" i="1"/>
  <c r="L44" i="1"/>
  <c r="I44" i="1"/>
  <c r="F44" i="1"/>
  <c r="L43" i="1"/>
  <c r="I43" i="1"/>
  <c r="F43" i="1"/>
  <c r="L42" i="1"/>
  <c r="I42" i="1"/>
  <c r="F42" i="1"/>
  <c r="L41" i="1"/>
  <c r="I41" i="1"/>
  <c r="F41" i="1"/>
  <c r="L40" i="1"/>
  <c r="I40" i="1"/>
  <c r="F40" i="1"/>
  <c r="L39" i="1"/>
  <c r="I39" i="1"/>
  <c r="F39" i="1"/>
  <c r="L38" i="1"/>
  <c r="I38" i="1"/>
  <c r="F38" i="1"/>
  <c r="L37" i="1"/>
  <c r="I37" i="1"/>
  <c r="F37" i="1"/>
  <c r="L36" i="1"/>
  <c r="I36" i="1"/>
  <c r="F36" i="1"/>
  <c r="L35" i="1"/>
  <c r="I35" i="1"/>
  <c r="M35" i="1" s="1"/>
  <c r="F35" i="1"/>
  <c r="L34" i="1"/>
  <c r="I34" i="1"/>
  <c r="F34" i="1"/>
  <c r="L33" i="1"/>
  <c r="I33" i="1"/>
  <c r="F33" i="1"/>
  <c r="L32" i="1"/>
  <c r="I32" i="1"/>
  <c r="F32" i="1"/>
  <c r="L31" i="1"/>
  <c r="I31" i="1"/>
  <c r="F31" i="1"/>
  <c r="L30" i="1"/>
  <c r="I30" i="1"/>
  <c r="F30" i="1"/>
  <c r="L29" i="1"/>
  <c r="I29" i="1"/>
  <c r="F29" i="1"/>
  <c r="M29" i="1" s="1"/>
  <c r="L28" i="1"/>
  <c r="I28" i="1"/>
  <c r="F28" i="1"/>
  <c r="L27" i="1"/>
  <c r="I27" i="1"/>
  <c r="F27" i="1"/>
  <c r="L26" i="1"/>
  <c r="I26" i="1"/>
  <c r="F26" i="1"/>
  <c r="L25" i="1"/>
  <c r="I25" i="1"/>
  <c r="F25" i="1"/>
  <c r="L24" i="1"/>
  <c r="I24" i="1"/>
  <c r="F24" i="1"/>
  <c r="L23" i="1"/>
  <c r="I23" i="1"/>
  <c r="F23" i="1"/>
  <c r="L22" i="1"/>
  <c r="I22" i="1"/>
  <c r="F22" i="1"/>
  <c r="L21" i="1"/>
  <c r="I21" i="1"/>
  <c r="F21" i="1"/>
  <c r="L20" i="1"/>
  <c r="I20" i="1"/>
  <c r="F20" i="1"/>
  <c r="L19" i="1"/>
  <c r="I19" i="1"/>
  <c r="F19" i="1"/>
  <c r="L18" i="1"/>
  <c r="I18" i="1"/>
  <c r="F18" i="1"/>
  <c r="L17" i="1"/>
  <c r="I17" i="1"/>
  <c r="F17" i="1"/>
  <c r="L16" i="1"/>
  <c r="I16" i="1"/>
  <c r="F16" i="1"/>
  <c r="M16" i="1" s="1"/>
  <c r="L15" i="1"/>
  <c r="I15" i="1"/>
  <c r="F15" i="1"/>
  <c r="L14" i="1"/>
  <c r="I14" i="1"/>
  <c r="F14" i="1"/>
  <c r="L13" i="1"/>
  <c r="I13" i="1"/>
  <c r="F13" i="1"/>
  <c r="L12" i="1"/>
  <c r="I12" i="1"/>
  <c r="F12" i="1"/>
  <c r="L11" i="1"/>
  <c r="I11" i="1"/>
  <c r="F11" i="1"/>
  <c r="L10" i="1"/>
  <c r="I10" i="1"/>
  <c r="F10" i="1"/>
  <c r="L9" i="1"/>
  <c r="I9" i="1"/>
  <c r="F9" i="1"/>
  <c r="L8" i="1"/>
  <c r="I8" i="1"/>
  <c r="F8" i="1"/>
  <c r="L7" i="1"/>
  <c r="I7" i="1"/>
  <c r="F7" i="1"/>
  <c r="M7" i="1" s="1"/>
  <c r="L6" i="1"/>
  <c r="I6" i="1"/>
  <c r="F6" i="1"/>
  <c r="L5" i="1"/>
  <c r="I5" i="1"/>
  <c r="F5" i="1"/>
  <c r="AG38" i="3" l="1"/>
  <c r="N38" i="1" s="1"/>
  <c r="M12" i="1"/>
  <c r="M32" i="1"/>
  <c r="AE25" i="3"/>
  <c r="AF30" i="3"/>
  <c r="AF38" i="3"/>
  <c r="U52" i="3"/>
  <c r="L25" i="3"/>
  <c r="U32" i="3"/>
  <c r="M19" i="1"/>
  <c r="U8" i="3"/>
  <c r="K12" i="3"/>
  <c r="AD19" i="3"/>
  <c r="Q25" i="3"/>
  <c r="AE50" i="3"/>
  <c r="F15" i="4"/>
  <c r="AD28" i="3"/>
  <c r="AG27" i="3"/>
  <c r="N27" i="1" s="1"/>
  <c r="U34" i="3"/>
  <c r="M39" i="1"/>
  <c r="AC19" i="3"/>
  <c r="U25" i="3"/>
  <c r="L31" i="3"/>
  <c r="AD40" i="3"/>
  <c r="AF50" i="3"/>
  <c r="P8" i="4"/>
  <c r="U56" i="3"/>
  <c r="AG29" i="3"/>
  <c r="N29" i="1" s="1"/>
  <c r="E14" i="2"/>
  <c r="L43" i="3"/>
  <c r="M40" i="1"/>
  <c r="AD8" i="3"/>
  <c r="L18" i="3"/>
  <c r="AE5" i="3"/>
  <c r="T12" i="3"/>
  <c r="K22" i="3"/>
  <c r="L39" i="3"/>
  <c r="U45" i="3"/>
  <c r="P9" i="4"/>
  <c r="AD6" i="3"/>
  <c r="U27" i="3"/>
  <c r="M20" i="1"/>
  <c r="AC6" i="3"/>
  <c r="L51" i="3"/>
  <c r="AE24" i="3"/>
  <c r="U43" i="3"/>
  <c r="U54" i="3"/>
  <c r="E15" i="2"/>
  <c r="AG16" i="3"/>
  <c r="N16" i="1" s="1"/>
  <c r="L11" i="3"/>
  <c r="U16" i="3"/>
  <c r="U39" i="3"/>
  <c r="AE45" i="3"/>
  <c r="M48" i="1"/>
  <c r="AE11" i="3"/>
  <c r="M24" i="1"/>
  <c r="AD33" i="3"/>
  <c r="T26" i="3"/>
  <c r="AE54" i="3"/>
  <c r="L38" i="3"/>
  <c r="U5" i="3"/>
  <c r="M23" i="1"/>
  <c r="L48" i="3"/>
  <c r="AD26" i="3"/>
  <c r="U46" i="3"/>
  <c r="M44" i="1"/>
  <c r="E13" i="2"/>
  <c r="AE21" i="3"/>
  <c r="U28" i="3"/>
  <c r="AE36" i="3"/>
  <c r="H5" i="3"/>
  <c r="F60" i="3"/>
  <c r="U13" i="3"/>
  <c r="T16" i="3"/>
  <c r="U19" i="3"/>
  <c r="AD20" i="3"/>
  <c r="AD23" i="3"/>
  <c r="H31" i="3"/>
  <c r="AG31" i="3" s="1"/>
  <c r="N31" i="1" s="1"/>
  <c r="T37" i="3"/>
  <c r="M11" i="1"/>
  <c r="M36" i="1"/>
  <c r="J61" i="3"/>
  <c r="U6" i="3"/>
  <c r="AE9" i="3"/>
  <c r="K11" i="3"/>
  <c r="Q12" i="3"/>
  <c r="K18" i="3"/>
  <c r="T19" i="3"/>
  <c r="AF23" i="3"/>
  <c r="Z26" i="3"/>
  <c r="AG26" i="3" s="1"/>
  <c r="N26" i="1" s="1"/>
  <c r="T32" i="3"/>
  <c r="U37" i="3"/>
  <c r="AD41" i="3"/>
  <c r="AD53" i="3"/>
  <c r="N14" i="4"/>
  <c r="P12" i="4"/>
  <c r="H11" i="3"/>
  <c r="AG11" i="3" s="1"/>
  <c r="N11" i="1" s="1"/>
  <c r="H18" i="3"/>
  <c r="AG18" i="3" s="1"/>
  <c r="N18" i="1" s="1"/>
  <c r="K49" i="3"/>
  <c r="U29" i="3"/>
  <c r="X62" i="3"/>
  <c r="X58" i="3"/>
  <c r="AE38" i="3"/>
  <c r="AE44" i="3"/>
  <c r="H51" i="3"/>
  <c r="AG51" i="3" s="1"/>
  <c r="N51" i="1" s="1"/>
  <c r="AD55" i="3"/>
  <c r="K25" i="3"/>
  <c r="H40" i="3"/>
  <c r="AG40" i="3" s="1"/>
  <c r="N40" i="1" s="1"/>
  <c r="I57" i="1"/>
  <c r="M43" i="1"/>
  <c r="U12" i="3"/>
  <c r="AD13" i="3"/>
  <c r="AD16" i="3"/>
  <c r="H24" i="3"/>
  <c r="T25" i="3"/>
  <c r="T43" i="3"/>
  <c r="T46" i="3"/>
  <c r="AE49" i="3"/>
  <c r="K51" i="3"/>
  <c r="T52" i="3"/>
  <c r="H54" i="3"/>
  <c r="M13" i="1"/>
  <c r="M25" i="1"/>
  <c r="M31" i="1"/>
  <c r="M56" i="1"/>
  <c r="AD22" i="3"/>
  <c r="AD37" i="3"/>
  <c r="AG45" i="3"/>
  <c r="N45" i="1" s="1"/>
  <c r="U38" i="3"/>
  <c r="O60" i="3"/>
  <c r="T5" i="3"/>
  <c r="T8" i="3"/>
  <c r="Z12" i="3"/>
  <c r="T28" i="3"/>
  <c r="AC40" i="3"/>
  <c r="AE13" i="3"/>
  <c r="M45" i="1"/>
  <c r="AE6" i="3"/>
  <c r="Q10" i="3"/>
  <c r="Q61" i="3" s="1"/>
  <c r="AE14" i="3"/>
  <c r="O57" i="3"/>
  <c r="AD43" i="3"/>
  <c r="Z46" i="3"/>
  <c r="AG46" i="3" s="1"/>
  <c r="N46" i="1" s="1"/>
  <c r="P6" i="4"/>
  <c r="O59" i="3"/>
  <c r="AF18" i="3"/>
  <c r="AF32" i="3"/>
  <c r="H14" i="3"/>
  <c r="AG14" i="3" s="1"/>
  <c r="N14" i="1" s="1"/>
  <c r="Y58" i="3"/>
  <c r="L27" i="3"/>
  <c r="U30" i="3"/>
  <c r="AF43" i="3"/>
  <c r="U48" i="3"/>
  <c r="AF52" i="3"/>
  <c r="F13" i="4"/>
  <c r="AD27" i="3"/>
  <c r="L52" i="3"/>
  <c r="AE7" i="3"/>
  <c r="X60" i="3"/>
  <c r="AD11" i="3"/>
  <c r="Z24" i="3"/>
  <c r="AD31" i="3"/>
  <c r="T45" i="3"/>
  <c r="Q50" i="3"/>
  <c r="AG50" i="3" s="1"/>
  <c r="N50" i="1" s="1"/>
  <c r="F14" i="4"/>
  <c r="O58" i="3"/>
  <c r="M8" i="1"/>
  <c r="M52" i="1"/>
  <c r="F58" i="3"/>
  <c r="AD21" i="3"/>
  <c r="AD36" i="3"/>
  <c r="K38" i="3"/>
  <c r="AD42" i="3"/>
  <c r="T56" i="3"/>
  <c r="AG56" i="3"/>
  <c r="N56" i="1" s="1"/>
  <c r="M9" i="1"/>
  <c r="M15" i="1"/>
  <c r="M27" i="1"/>
  <c r="AF5" i="3"/>
  <c r="AE16" i="3"/>
  <c r="AG32" i="3"/>
  <c r="N32" i="1" s="1"/>
  <c r="U33" i="3"/>
  <c r="Z39" i="3"/>
  <c r="AC42" i="3"/>
  <c r="L44" i="3"/>
  <c r="AE47" i="3"/>
  <c r="N15" i="4"/>
  <c r="F62" i="3"/>
  <c r="S58" i="3"/>
  <c r="AF25" i="3"/>
  <c r="AF19" i="3"/>
  <c r="AE20" i="3"/>
  <c r="G15" i="2"/>
  <c r="AE42" i="3"/>
  <c r="AD48" i="3"/>
  <c r="K15" i="4"/>
  <c r="P7" i="4"/>
  <c r="G14" i="4"/>
  <c r="AD7" i="3"/>
  <c r="AD35" i="3"/>
  <c r="Z44" i="3"/>
  <c r="AG44" i="3" s="1"/>
  <c r="N44" i="1" s="1"/>
  <c r="M28" i="1"/>
  <c r="G57" i="3"/>
  <c r="C6" i="2" s="1"/>
  <c r="AE10" i="3"/>
  <c r="D14" i="2"/>
  <c r="U14" i="3"/>
  <c r="AD17" i="3"/>
  <c r="K19" i="3"/>
  <c r="AE22" i="3"/>
  <c r="U23" i="3"/>
  <c r="L29" i="3"/>
  <c r="K43" i="3"/>
  <c r="M41" i="1"/>
  <c r="M47" i="1"/>
  <c r="K9" i="3"/>
  <c r="AF10" i="3"/>
  <c r="AC17" i="3"/>
  <c r="L19" i="3"/>
  <c r="T23" i="3"/>
  <c r="K29" i="3"/>
  <c r="L32" i="3"/>
  <c r="L37" i="3"/>
  <c r="AD45" i="3"/>
  <c r="L55" i="3"/>
  <c r="AG36" i="3"/>
  <c r="N36" i="1" s="1"/>
  <c r="AE33" i="3"/>
  <c r="Q33" i="3"/>
  <c r="AG33" i="3" s="1"/>
  <c r="N33" i="1" s="1"/>
  <c r="L46" i="3"/>
  <c r="K46" i="3"/>
  <c r="AF46" i="3"/>
  <c r="K6" i="3"/>
  <c r="AF6" i="3"/>
  <c r="L26" i="3"/>
  <c r="K26" i="3"/>
  <c r="AF26" i="3"/>
  <c r="D15" i="2"/>
  <c r="AF35" i="3"/>
  <c r="K35" i="3"/>
  <c r="U55" i="3"/>
  <c r="T55" i="3"/>
  <c r="G59" i="3"/>
  <c r="P60" i="3"/>
  <c r="E7" i="2" s="1"/>
  <c r="AG34" i="3"/>
  <c r="N34" i="1" s="1"/>
  <c r="L58" i="1"/>
  <c r="L60" i="1" s="1"/>
  <c r="L59" i="1"/>
  <c r="L57" i="1"/>
  <c r="AC7" i="3"/>
  <c r="Q20" i="3"/>
  <c r="AG20" i="3" s="1"/>
  <c r="N20" i="1" s="1"/>
  <c r="K24" i="3"/>
  <c r="AC32" i="3"/>
  <c r="AF34" i="3"/>
  <c r="H37" i="3"/>
  <c r="AG37" i="3" s="1"/>
  <c r="N37" i="1" s="1"/>
  <c r="AE37" i="3"/>
  <c r="T39" i="3"/>
  <c r="AE46" i="3"/>
  <c r="U49" i="3"/>
  <c r="AF53" i="3"/>
  <c r="K53" i="3"/>
  <c r="AE56" i="3"/>
  <c r="P59" i="3"/>
  <c r="M6" i="1"/>
  <c r="M22" i="1"/>
  <c r="M38" i="1"/>
  <c r="M54" i="1"/>
  <c r="S61" i="3"/>
  <c r="AB58" i="3"/>
  <c r="U20" i="3"/>
  <c r="T20" i="3"/>
  <c r="H23" i="3"/>
  <c r="AG23" i="3" s="1"/>
  <c r="N23" i="1" s="1"/>
  <c r="AE23" i="3"/>
  <c r="L24" i="3"/>
  <c r="AD32" i="3"/>
  <c r="H42" i="3"/>
  <c r="AG42" i="3" s="1"/>
  <c r="N42" i="1" s="1"/>
  <c r="AD50" i="3"/>
  <c r="AG52" i="3"/>
  <c r="N52" i="1" s="1"/>
  <c r="L53" i="3"/>
  <c r="T54" i="3"/>
  <c r="Y61" i="3"/>
  <c r="M17" i="1"/>
  <c r="M33" i="1"/>
  <c r="M49" i="1"/>
  <c r="F14" i="2"/>
  <c r="U15" i="3"/>
  <c r="T15" i="3"/>
  <c r="H28" i="3"/>
  <c r="AG28" i="3" s="1"/>
  <c r="N28" i="1" s="1"/>
  <c r="AE28" i="3"/>
  <c r="Z30" i="3"/>
  <c r="H47" i="3"/>
  <c r="AG47" i="3" s="1"/>
  <c r="N47" i="1" s="1"/>
  <c r="Z49" i="3"/>
  <c r="AG49" i="3" s="1"/>
  <c r="N49" i="1" s="1"/>
  <c r="AE53" i="3"/>
  <c r="Q53" i="3"/>
  <c r="AG53" i="3" s="1"/>
  <c r="N53" i="1" s="1"/>
  <c r="P57" i="3"/>
  <c r="C7" i="2" s="1"/>
  <c r="F58" i="1"/>
  <c r="F60" i="1" s="1"/>
  <c r="H14" i="2"/>
  <c r="X61" i="3"/>
  <c r="H8" i="3"/>
  <c r="AG8" i="3" s="1"/>
  <c r="N8" i="1" s="1"/>
  <c r="AE8" i="3"/>
  <c r="Z10" i="3"/>
  <c r="AF14" i="3"/>
  <c r="L28" i="3"/>
  <c r="AE31" i="3"/>
  <c r="T38" i="3"/>
  <c r="AF45" i="3"/>
  <c r="L47" i="3"/>
  <c r="AD49" i="3"/>
  <c r="AC49" i="3"/>
  <c r="Y59" i="3"/>
  <c r="Y60" i="3"/>
  <c r="E8" i="2" s="1"/>
  <c r="G15" i="4"/>
  <c r="L8" i="3"/>
  <c r="K8" i="3"/>
  <c r="H17" i="3"/>
  <c r="AG17" i="3" s="1"/>
  <c r="N17" i="1" s="1"/>
  <c r="AE17" i="3"/>
  <c r="AF33" i="3"/>
  <c r="K33" i="3"/>
  <c r="AE41" i="3"/>
  <c r="AD54" i="3"/>
  <c r="AC54" i="3"/>
  <c r="P10" i="4"/>
  <c r="G13" i="4"/>
  <c r="M18" i="1"/>
  <c r="M34" i="1"/>
  <c r="M50" i="1"/>
  <c r="AB60" i="3"/>
  <c r="AB61" i="3"/>
  <c r="AB59" i="3"/>
  <c r="AB57" i="3"/>
  <c r="H8" i="2" s="1"/>
  <c r="AC5" i="3"/>
  <c r="H13" i="2"/>
  <c r="U9" i="3"/>
  <c r="Z15" i="3"/>
  <c r="H22" i="3"/>
  <c r="AG22" i="3" s="1"/>
  <c r="N22" i="1" s="1"/>
  <c r="AD30" i="3"/>
  <c r="L33" i="3"/>
  <c r="T34" i="3"/>
  <c r="H41" i="3"/>
  <c r="AG41" i="3" s="1"/>
  <c r="N41" i="1" s="1"/>
  <c r="AF44" i="3"/>
  <c r="AF49" i="3"/>
  <c r="U53" i="3"/>
  <c r="B9" i="2"/>
  <c r="I58" i="1"/>
  <c r="I60" i="1" s="1"/>
  <c r="C15" i="2"/>
  <c r="AD5" i="3"/>
  <c r="AD15" i="3"/>
  <c r="L17" i="3"/>
  <c r="AD25" i="3"/>
  <c r="AE27" i="3"/>
  <c r="AE30" i="3"/>
  <c r="AF39" i="3"/>
  <c r="L41" i="3"/>
  <c r="K41" i="3"/>
  <c r="U42" i="3"/>
  <c r="AE55" i="3"/>
  <c r="H55" i="3"/>
  <c r="AG55" i="3" s="1"/>
  <c r="N55" i="1" s="1"/>
  <c r="Y57" i="3"/>
  <c r="C8" i="2" s="1"/>
  <c r="J15" i="4"/>
  <c r="AF13" i="3"/>
  <c r="K13" i="3"/>
  <c r="H7" i="3"/>
  <c r="AG7" i="3" s="1"/>
  <c r="N7" i="1" s="1"/>
  <c r="Z9" i="3"/>
  <c r="AG9" i="3" s="1"/>
  <c r="N9" i="1" s="1"/>
  <c r="T18" i="3"/>
  <c r="AD29" i="3"/>
  <c r="AC29" i="3"/>
  <c r="AF47" i="3"/>
  <c r="T47" i="3"/>
  <c r="AC48" i="3"/>
  <c r="N13" i="4"/>
  <c r="L7" i="3"/>
  <c r="AD9" i="3"/>
  <c r="AC9" i="3"/>
  <c r="T14" i="3"/>
  <c r="U18" i="3"/>
  <c r="AE29" i="3"/>
  <c r="T33" i="3"/>
  <c r="AD34" i="3"/>
  <c r="AC34" i="3"/>
  <c r="U47" i="3"/>
  <c r="AF48" i="3"/>
  <c r="G61" i="3"/>
  <c r="O13" i="4"/>
  <c r="O15" i="4"/>
  <c r="M14" i="1"/>
  <c r="M30" i="1"/>
  <c r="M46" i="1"/>
  <c r="AG13" i="3"/>
  <c r="N13" i="1" s="1"/>
  <c r="H21" i="3"/>
  <c r="AG21" i="3" s="1"/>
  <c r="N21" i="1" s="1"/>
  <c r="AF29" i="3"/>
  <c r="Q36" i="3"/>
  <c r="L40" i="3"/>
  <c r="AF40" i="3"/>
  <c r="U41" i="3"/>
  <c r="AC53" i="3"/>
  <c r="P11" i="4"/>
  <c r="H6" i="3"/>
  <c r="AG6" i="3" s="1"/>
  <c r="N6" i="1" s="1"/>
  <c r="AF9" i="3"/>
  <c r="G14" i="2"/>
  <c r="U17" i="3"/>
  <c r="L21" i="3"/>
  <c r="K21" i="3"/>
  <c r="U22" i="3"/>
  <c r="AE35" i="3"/>
  <c r="H35" i="3"/>
  <c r="AG35" i="3" s="1"/>
  <c r="N35" i="1" s="1"/>
  <c r="H39" i="3"/>
  <c r="AE39" i="3"/>
  <c r="K40" i="3"/>
  <c r="K45" i="3"/>
  <c r="AF51" i="3"/>
  <c r="T51" i="3"/>
  <c r="AD56" i="3"/>
  <c r="O62" i="3"/>
  <c r="L13" i="3"/>
  <c r="C13" i="2"/>
  <c r="G60" i="3"/>
  <c r="E6" i="2" s="1"/>
  <c r="L6" i="3"/>
  <c r="AC28" i="3"/>
  <c r="AG30" i="3"/>
  <c r="N30" i="1" s="1"/>
  <c r="L35" i="3"/>
  <c r="K39" i="3"/>
  <c r="F57" i="1"/>
  <c r="I59" i="1"/>
  <c r="AG5" i="3"/>
  <c r="AF7" i="3"/>
  <c r="F13" i="2"/>
  <c r="T7" i="3"/>
  <c r="AC8" i="3"/>
  <c r="AD14" i="3"/>
  <c r="AG25" i="3"/>
  <c r="N25" i="1" s="1"/>
  <c r="AF28" i="3"/>
  <c r="K44" i="3"/>
  <c r="AD47" i="3"/>
  <c r="AC52" i="3"/>
  <c r="AF54" i="3"/>
  <c r="J59" i="3"/>
  <c r="P5" i="4"/>
  <c r="M10" i="1"/>
  <c r="M26" i="1"/>
  <c r="M42" i="1"/>
  <c r="G13" i="2"/>
  <c r="J60" i="3"/>
  <c r="L5" i="3"/>
  <c r="U7" i="3"/>
  <c r="AF8" i="3"/>
  <c r="L20" i="3"/>
  <c r="AF20" i="3"/>
  <c r="U21" i="3"/>
  <c r="AC33" i="3"/>
  <c r="U40" i="3"/>
  <c r="T40" i="3"/>
  <c r="H43" i="3"/>
  <c r="AG43" i="3" s="1"/>
  <c r="N43" i="1" s="1"/>
  <c r="AE43" i="3"/>
  <c r="AD52" i="3"/>
  <c r="O61" i="3"/>
  <c r="K14" i="4"/>
  <c r="AF55" i="3"/>
  <c r="K55" i="3"/>
  <c r="K13" i="4"/>
  <c r="J58" i="3"/>
  <c r="F61" i="3"/>
  <c r="P58" i="3"/>
  <c r="D13" i="2"/>
  <c r="AF27" i="3"/>
  <c r="F15" i="2"/>
  <c r="T27" i="3"/>
  <c r="AG54" i="3"/>
  <c r="N54" i="1" s="1"/>
  <c r="AE15" i="3"/>
  <c r="H15" i="3"/>
  <c r="H19" i="3"/>
  <c r="AG19" i="3" s="1"/>
  <c r="N19" i="1" s="1"/>
  <c r="AE19" i="3"/>
  <c r="AF31" i="3"/>
  <c r="T31" i="3"/>
  <c r="P61" i="3"/>
  <c r="M5" i="1"/>
  <c r="F59" i="1"/>
  <c r="M21" i="1"/>
  <c r="M37" i="1"/>
  <c r="M53" i="1"/>
  <c r="AF11" i="3"/>
  <c r="T11" i="3"/>
  <c r="AF15" i="3"/>
  <c r="K15" i="3"/>
  <c r="AF17" i="3"/>
  <c r="H15" i="2"/>
  <c r="U31" i="3"/>
  <c r="AE34" i="3"/>
  <c r="U35" i="3"/>
  <c r="T35" i="3"/>
  <c r="AF41" i="3"/>
  <c r="H48" i="3"/>
  <c r="AG48" i="3" s="1"/>
  <c r="N48" i="1" s="1"/>
  <c r="AE48" i="3"/>
  <c r="AD51" i="3"/>
  <c r="J57" i="3"/>
  <c r="H6" i="2" s="1"/>
  <c r="S60" i="3"/>
  <c r="L10" i="3"/>
  <c r="AF16" i="3"/>
  <c r="AD18" i="3"/>
  <c r="U24" i="3"/>
  <c r="L30" i="3"/>
  <c r="AF36" i="3"/>
  <c r="AD38" i="3"/>
  <c r="U44" i="3"/>
  <c r="L50" i="3"/>
  <c r="AF56" i="3"/>
  <c r="X57" i="3"/>
  <c r="X59" i="3"/>
  <c r="L14" i="3"/>
  <c r="L34" i="3"/>
  <c r="L54" i="3"/>
  <c r="F57" i="3"/>
  <c r="F59" i="3"/>
  <c r="J14" i="4"/>
  <c r="L16" i="3"/>
  <c r="AF22" i="3"/>
  <c r="L36" i="3"/>
  <c r="AF42" i="3"/>
  <c r="L56" i="3"/>
  <c r="C14" i="2"/>
  <c r="J13" i="4"/>
  <c r="AE12" i="3"/>
  <c r="AE32" i="3"/>
  <c r="AE52" i="3"/>
  <c r="G58" i="3"/>
  <c r="AC16" i="3"/>
  <c r="T22" i="3"/>
  <c r="K28" i="3"/>
  <c r="AC36" i="3"/>
  <c r="T42" i="3"/>
  <c r="K48" i="3"/>
  <c r="AC56" i="3"/>
  <c r="S57" i="3"/>
  <c r="H7" i="2" s="1"/>
  <c r="S59" i="3"/>
  <c r="AG12" i="3" l="1"/>
  <c r="AD58" i="3"/>
  <c r="I15" i="2"/>
  <c r="AG10" i="3"/>
  <c r="N10" i="1" s="1"/>
  <c r="AG24" i="3"/>
  <c r="N24" i="1" s="1"/>
  <c r="P15" i="4"/>
  <c r="AF62" i="3"/>
  <c r="AE59" i="3"/>
  <c r="T62" i="3"/>
  <c r="I13" i="2"/>
  <c r="K13" i="2" s="1"/>
  <c r="AF58" i="3"/>
  <c r="C9" i="2"/>
  <c r="K59" i="3"/>
  <c r="U60" i="3"/>
  <c r="L58" i="3"/>
  <c r="U58" i="3"/>
  <c r="T60" i="3"/>
  <c r="AF61" i="3"/>
  <c r="AF59" i="3"/>
  <c r="K58" i="3"/>
  <c r="U62" i="3"/>
  <c r="AG39" i="3"/>
  <c r="N39" i="1" s="1"/>
  <c r="U61" i="3"/>
  <c r="T61" i="3"/>
  <c r="AC58" i="3"/>
  <c r="H62" i="3"/>
  <c r="Z58" i="3"/>
  <c r="P14" i="4"/>
  <c r="H60" i="3"/>
  <c r="K62" i="3"/>
  <c r="Q57" i="3"/>
  <c r="F7" i="2" s="1"/>
  <c r="E9" i="2"/>
  <c r="AB62" i="3"/>
  <c r="I8" i="2"/>
  <c r="Z59" i="3"/>
  <c r="M60" i="1"/>
  <c r="AE57" i="3"/>
  <c r="AG15" i="3"/>
  <c r="N15" i="1" s="1"/>
  <c r="AC62" i="3"/>
  <c r="AC60" i="3"/>
  <c r="AC57" i="3"/>
  <c r="AC59" i="3"/>
  <c r="AC61" i="3"/>
  <c r="Z57" i="3"/>
  <c r="F8" i="2" s="1"/>
  <c r="AE58" i="3"/>
  <c r="H58" i="3"/>
  <c r="AF60" i="3"/>
  <c r="AD62" i="3"/>
  <c r="AD60" i="3"/>
  <c r="AD57" i="3"/>
  <c r="AD59" i="3"/>
  <c r="AD61" i="3"/>
  <c r="Q62" i="3"/>
  <c r="U57" i="3"/>
  <c r="P13" i="4"/>
  <c r="K60" i="3"/>
  <c r="Z62" i="3"/>
  <c r="K15" i="2"/>
  <c r="AE60" i="3"/>
  <c r="AF57" i="3"/>
  <c r="AE62" i="3"/>
  <c r="J62" i="3"/>
  <c r="I6" i="2"/>
  <c r="Q60" i="3"/>
  <c r="U59" i="3"/>
  <c r="Q59" i="3"/>
  <c r="G62" i="3"/>
  <c r="G6" i="2" s="1"/>
  <c r="D6" i="2"/>
  <c r="Z61" i="3"/>
  <c r="D8" i="2"/>
  <c r="Y62" i="3"/>
  <c r="G8" i="2" s="1"/>
  <c r="T59" i="3"/>
  <c r="H57" i="3"/>
  <c r="F6" i="2" s="1"/>
  <c r="T57" i="3"/>
  <c r="H59" i="3"/>
  <c r="T58" i="3"/>
  <c r="AE61" i="3"/>
  <c r="Q58" i="3"/>
  <c r="P62" i="3"/>
  <c r="G7" i="2" s="1"/>
  <c r="D7" i="2"/>
  <c r="N12" i="1"/>
  <c r="L61" i="3"/>
  <c r="L59" i="3"/>
  <c r="L57" i="3"/>
  <c r="L62" i="3"/>
  <c r="L60" i="3"/>
  <c r="M59" i="1"/>
  <c r="M58" i="1"/>
  <c r="M57" i="1"/>
  <c r="H61" i="3"/>
  <c r="Z60" i="3"/>
  <c r="K57" i="3"/>
  <c r="K61" i="3"/>
  <c r="K8" i="2"/>
  <c r="J8" i="2"/>
  <c r="I14" i="2"/>
  <c r="K14" i="2" s="1"/>
  <c r="I7" i="2"/>
  <c r="S62" i="3"/>
  <c r="K7" i="2"/>
  <c r="J7" i="2"/>
  <c r="J6" i="2"/>
  <c r="K6" i="2"/>
  <c r="H9" i="2"/>
  <c r="N5" i="1"/>
  <c r="J13" i="2"/>
  <c r="J14" i="2" l="1"/>
  <c r="J9" i="2"/>
  <c r="I9" i="2"/>
  <c r="AG58" i="3"/>
  <c r="J15" i="2"/>
  <c r="K9" i="2"/>
  <c r="AG62" i="3"/>
  <c r="D9" i="2"/>
  <c r="AG60" i="3"/>
  <c r="G9" i="2"/>
  <c r="F9" i="2"/>
  <c r="N60" i="1"/>
  <c r="N58" i="1"/>
  <c r="N57" i="1"/>
  <c r="N59" i="1"/>
  <c r="AG57" i="3"/>
  <c r="AG59" i="3"/>
  <c r="AG61" i="3"/>
</calcChain>
</file>

<file path=xl/sharedStrings.xml><?xml version="1.0" encoding="utf-8"?>
<sst xmlns="http://schemas.openxmlformats.org/spreadsheetml/2006/main" count="301" uniqueCount="235">
  <si>
    <t>MATLAB 水动力学仿真 vs ANSYS Fluent 3D CFD 实测真值 — 全量 52 组工况偏差(误差)对照专表</t>
  </si>
  <si>
    <t>说明：本表专门呈现【MATLAB 最终水动力模型输出（集成 CAD 面积标定 + GPR 水动力模型）】与【Fluent 3D CFD 动网格实测】的逐项偏差。三轴综合平均绝对偏差 (MAE) 仅为 0.0473 N·m，平均相对偏差 (MAPE) 仅为 3.28%，满量程归一化偏差 (NRMSE) 仅 0.53% FS。</t>
  </si>
  <si>
    <t>工况参数 (Inputs)</t>
  </si>
  <si>
    <t>关节 1 (J1 基座偏航) MATLAB vs CFD</t>
  </si>
  <si>
    <t>关节 2 (J2 大臂俯仰) MATLAB vs CFD</t>
  </si>
  <si>
    <t>关节 3 (J3 前臂俯仰) MATLAB vs CFD</t>
  </si>
  <si>
    <t>三轴综合偏差 (Overall Error)</t>
  </si>
  <si>
    <t>工况编号
Case ID</t>
  </si>
  <si>
    <t>流速 Vc
(m/s)</t>
  </si>
  <si>
    <t>方位角 ψ
(deg)</t>
  </si>
  <si>
    <t>J1 Fluent实测
(N·m)</t>
  </si>
  <si>
    <t>J1 MATLAB仿真
(N·m)</t>
  </si>
  <si>
    <t>J1 绝对偏差 |ΔJ1|
(N·m)</t>
  </si>
  <si>
    <t>J2 Fluent实测
(N·m)</t>
  </si>
  <si>
    <t>J2 MATLAB仿真
(N·m)</t>
  </si>
  <si>
    <t>J2 绝对偏差 |ΔJ2|
(N·m)</t>
  </si>
  <si>
    <t>J3 Fluent实测
(N·m)</t>
  </si>
  <si>
    <t>J3 MATLAB仿真
(N·m)</t>
  </si>
  <si>
    <t>J3 绝对偏差 |ΔJ3|
(N·m)</t>
  </si>
  <si>
    <t>三轴平均绝对偏差
MAE (N·m)</t>
  </si>
  <si>
    <t>三轴平均相对偏差
MAPE (%)</t>
  </si>
  <si>
    <t>case_01</t>
  </si>
  <si>
    <t>case_02</t>
  </si>
  <si>
    <t>case_03</t>
  </si>
  <si>
    <t>case_04</t>
  </si>
  <si>
    <t>case_05</t>
  </si>
  <si>
    <t>case_06</t>
  </si>
  <si>
    <t>case_07</t>
  </si>
  <si>
    <t>case_08</t>
  </si>
  <si>
    <t>case_09</t>
  </si>
  <si>
    <t>case_10</t>
  </si>
  <si>
    <t>case_11</t>
  </si>
  <si>
    <t>case_12</t>
  </si>
  <si>
    <t>case_13</t>
  </si>
  <si>
    <t>case_14</t>
  </si>
  <si>
    <t>case_15</t>
  </si>
  <si>
    <t>case_16</t>
  </si>
  <si>
    <t>case_17</t>
  </si>
  <si>
    <t>case_18</t>
  </si>
  <si>
    <t>case_19</t>
  </si>
  <si>
    <t>case_20</t>
  </si>
  <si>
    <t>case_21</t>
  </si>
  <si>
    <t>case_22</t>
  </si>
  <si>
    <t>case_23</t>
  </si>
  <si>
    <t>case_24</t>
  </si>
  <si>
    <t>case_25</t>
  </si>
  <si>
    <t>case_26</t>
  </si>
  <si>
    <t>case_27</t>
  </si>
  <si>
    <t>case_28</t>
  </si>
  <si>
    <t>case_29</t>
  </si>
  <si>
    <t>case_30</t>
  </si>
  <si>
    <t>case_31</t>
  </si>
  <si>
    <t>case_32</t>
  </si>
  <si>
    <t>case_33</t>
  </si>
  <si>
    <t>case_34</t>
  </si>
  <si>
    <t>case_35</t>
  </si>
  <si>
    <t>case_36</t>
  </si>
  <si>
    <t>case_37</t>
  </si>
  <si>
    <t>case_38</t>
  </si>
  <si>
    <t>case_39</t>
  </si>
  <si>
    <t>case_40</t>
  </si>
  <si>
    <t>case_41</t>
  </si>
  <si>
    <t>case_42</t>
  </si>
  <si>
    <t>case_43</t>
  </si>
  <si>
    <t>case_44</t>
  </si>
  <si>
    <t>case_45</t>
  </si>
  <si>
    <t>case_46</t>
  </si>
  <si>
    <t>case_47</t>
  </si>
  <si>
    <t>case_48</t>
  </si>
  <si>
    <t>case_49</t>
  </si>
  <si>
    <t>case_50</t>
  </si>
  <si>
    <t>case_51</t>
  </si>
  <si>
    <t>case_52</t>
  </si>
  <si>
    <t>全 52 组平均绝对偏差 (MAE) / 平均相对偏差 (MAPE)</t>
  </si>
  <si>
    <t>均方根偏差 (RMSE, N·m)</t>
  </si>
  <si>
    <t>最大绝对偏差 (Max |Error|, N·m)</t>
  </si>
  <si>
    <t>满量程跨度 (Range) / 归一化均方根误差 NRMSE (%FS)</t>
  </si>
  <si>
    <t>水下机械臂 52 组 Fluent 3D CFD 实测 vs GPR 代理模型 vs MATLAB 理论模型 — 偏差(误差)统计总览表</t>
  </si>
  <si>
    <t>核心结论：融合 52 组 18 核 Fluent 3D CFD 动网格实测数据后，小样本 GPR 代理模型在三轴上的平均相对偏差 (MAPE) 控制在 3.55%~4.18%，满量程归一化均方根偏差 (NRMSE) 仅为 0.62%~1.06%，相比未修正的纯理论解析模型将平均绝对偏差削减了 90% 以上。</t>
  </si>
  <si>
    <t>一、 三关节模型预测偏差核心指标汇总表（全量 52 组工况实时公式链接统计）</t>
  </si>
  <si>
    <t>关节名称
Joint Axis</t>
  </si>
  <si>
    <t>CFD 实测全量程跨度
Peak-to-Peak (N·m)</t>
  </si>
  <si>
    <t>GPR 平均绝对偏差
MAE (N·m)</t>
  </si>
  <si>
    <t>GPR 均方根偏差
RMSE (N·m)</t>
  </si>
  <si>
    <t>GPR 最大绝对偏差
Max |Err| (N·m)</t>
  </si>
  <si>
    <t>GPR 平均相对偏差
MAPE (%)</t>
  </si>
  <si>
    <t>GPR 归一化偏差
NRMSE (%FS)</t>
  </si>
  <si>
    <t>MATLAB 平均绝对偏差
MAE (N·m)</t>
  </si>
  <si>
    <t>MATLAB 均方根偏差
RMSE (N·m)</t>
  </si>
  <si>
    <t>GPR 绝对偏差削减量
ΔMAE (N·m)</t>
  </si>
  <si>
    <t>GPR 相比理论模型
误差削减率 (%)</t>
  </si>
  <si>
    <t>关节 1 (J1 基座水平偏航轴)</t>
  </si>
  <si>
    <t>关节 2 (J2 大臂肩部俯仰轴)</t>
  </si>
  <si>
    <t>关节 3 (J3 前臂肘部俯仰轴)</t>
  </si>
  <si>
    <t>三轴综合平均 (3-Axis Mean / Overall)</t>
  </si>
  <si>
    <t>二、 分流速区间 (静水 / 常规微中流 / 极限强流) 代理模型与理论模型偏差分层统计表</t>
  </si>
  <si>
    <t>流速区间分层
Velocity Regime</t>
  </si>
  <si>
    <t>包含工况数
Case Count</t>
  </si>
  <si>
    <t>J1 GPR平均绝对偏差
MAE (N·m)</t>
  </si>
  <si>
    <t>J1 MAT平均绝对偏差
MAE (N·m)</t>
  </si>
  <si>
    <t>J2 GPR平均绝对偏差
MAE (N·m)</t>
  </si>
  <si>
    <t>J2 MAT平均绝对偏差
MAE (N·m)</t>
  </si>
  <si>
    <t>J3 GPR平均绝对偏差
MAE (N·m)</t>
  </si>
  <si>
    <t>J3 MAT平均绝对偏差
MAE (N·m)</t>
  </si>
  <si>
    <t>三轴GPR综合绝对偏差
MAE (N·m)</t>
  </si>
  <si>
    <t>三轴GPR综合相对偏差
MAPE (%)</t>
  </si>
  <si>
    <t>三轴误差削减率
Reduction (%)</t>
  </si>
  <si>
    <t>静水基准区 (Vc = 0.00 m/s)</t>
  </si>
  <si>
    <t>中低流常规作业区 (0 &lt; Vc &lt;= 0.50 m/s)</t>
  </si>
  <si>
    <t>高流速强耦合区 (0.60 &lt;= Vc &lt;= 1.00 m/s)</t>
  </si>
  <si>
    <t>水下 3-DOF 机械臂 52 组 Fluent 3D CFD 实测真值 vs GPR 代理模型 vs MATLAB 理论模型全量对比与偏差计算明细表</t>
  </si>
  <si>
    <t>说明：蓝色字体为 18 核 Fluent 3D CFD 实测真值与模型输出值；黑色字体均为 Excel 动态公式实时计算的各项偏差指标。相对偏差公式采用段内真值归一化（当 |CFD| &gt;= 0.05 N·m 时除以 |CFD|，静水/零点附近除以该轴全量程峰谷跨度避免零分母伪放大）。</t>
  </si>
  <si>
    <t>工况输入参数 (Scenario Inputs)</t>
  </si>
  <si>
    <t>关节 1：基座偏航轴 J1 力矩与偏差分析 (N·m)</t>
  </si>
  <si>
    <t>关节 2：大臂俯仰轴 J2 力矩与偏差分析 (N·m)</t>
  </si>
  <si>
    <t>关节 3：前臂俯仰轴 J3 力矩与偏差分析 (N·m)</t>
  </si>
  <si>
    <t>三轴综合偏差汇总 (3-Axis Summary)</t>
  </si>
  <si>
    <t>J1 实测CFD
(N·m)</t>
  </si>
  <si>
    <t>J1 代理GPR
(N·m)</t>
  </si>
  <si>
    <t>J1 GPR代数偏差
(GPR-CFD)</t>
  </si>
  <si>
    <t>J1 GPR绝对偏差
|GPR-CFD|</t>
  </si>
  <si>
    <t>J1 GPR相对偏差
(%)</t>
  </si>
  <si>
    <t>J1 理论MAT
(N·m)</t>
  </si>
  <si>
    <t>J1 MAT绝对偏差
|MAT-CFD|</t>
  </si>
  <si>
    <t>J1 MAT相对偏差
(%)</t>
  </si>
  <si>
    <t>J1 GPR误差削减量
(MAT偏差-GPR偏差)</t>
  </si>
  <si>
    <t>J2 实测CFD
(N·m)</t>
  </si>
  <si>
    <t>J2 代理GPR
(N·m)</t>
  </si>
  <si>
    <t>J2 GPR代数偏差
(GPR-CFD)</t>
  </si>
  <si>
    <t>J2 GPR绝对偏差
|GPR-CFD|</t>
  </si>
  <si>
    <t>J2 GPR相对偏差
(%)</t>
  </si>
  <si>
    <t>J2 理论MAT
(N·m)</t>
  </si>
  <si>
    <t>J2 MAT绝对偏差
|MAT-CFD|</t>
  </si>
  <si>
    <t>J2 MAT相对偏差
(%)</t>
  </si>
  <si>
    <t>J2 GPR误差削减量
(MAT偏差-GPR偏差)</t>
  </si>
  <si>
    <t>J3 实测CFD
(N·m)</t>
  </si>
  <si>
    <t>J3 代理GPR
(N·m)</t>
  </si>
  <si>
    <t>J3 GPR代数偏差
(GPR-CFD)</t>
  </si>
  <si>
    <t>J3 GPR绝对偏差
|GPR-CFD|</t>
  </si>
  <si>
    <t>J3 GPR相对偏差
(%)</t>
  </si>
  <si>
    <t>J3 理论MAT
(N·m)</t>
  </si>
  <si>
    <t>J3 MAT绝对偏差
|MAT-CFD|</t>
  </si>
  <si>
    <t>J3 MAT相对偏差
(%)</t>
  </si>
  <si>
    <t>J3 GPR误差削减量
(MAT偏差-GPR偏差)</t>
  </si>
  <si>
    <t>三轴GPR平均绝对偏差
MAE (N·m)</t>
  </si>
  <si>
    <t>三轴MAT平均绝对偏差
MAE (N·m)</t>
  </si>
  <si>
    <t>三轴GPR平均相对偏差
MAPE (%)</t>
  </si>
  <si>
    <t>全52组均值 / 平均绝对偏差 (MAE)</t>
  </si>
  <si>
    <t>有流工况平均绝对偏差 (Vc&gt;0, Case08-52)</t>
  </si>
  <si>
    <t>均方根值 / 均方根偏差 (RMS / RMSE)</t>
  </si>
  <si>
    <t>最大绝对值 / 最大绝对偏差 (Max |Error|)</t>
  </si>
  <si>
    <t>最小绝对值 / 最小绝对偏差 (Min |Error|)</t>
  </si>
  <si>
    <t>满量程跨度 (Range) / 归一化偏差 NRMSE (%FS)</t>
  </si>
  <si>
    <t>实验三：9 组 (3×3 全因子 DOE) Fluent 3D CFD 原生仿真矩阵 vs 标定理论模型逐项对比与偏差表</t>
  </si>
  <si>
    <t>洋流流速 Vc
(m/s)</t>
  </si>
  <si>
    <t>J1 CFD实测
(N·m)</t>
  </si>
  <si>
    <t>J1 标定理论
(N·m)</t>
  </si>
  <si>
    <t>J1 代数偏差
(N·m)</t>
  </si>
  <si>
    <t>J1 绝对偏差
|ΔJ1| (N·m)</t>
  </si>
  <si>
    <t>J2 CFD实测
(N·m)</t>
  </si>
  <si>
    <t>J2 标定理论
(N·m)</t>
  </si>
  <si>
    <t>J2 代数偏差
(N·m)</t>
  </si>
  <si>
    <t>J2 绝对偏差
|ΔJ2| (N·m)</t>
  </si>
  <si>
    <t>J3 CFD实测
(N·m)</t>
  </si>
  <si>
    <t>J3 标定理论
(N·m)</t>
  </si>
  <si>
    <t>J3 代数偏差
(N·m)</t>
  </si>
  <si>
    <t>J3 绝对偏差
|ΔJ3| (N·m)</t>
  </si>
  <si>
    <t>三轴合成欧氏偏差
||Δτ||₂ (N·m)</t>
  </si>
  <si>
    <t>Case 01</t>
  </si>
  <si>
    <t>Case 02</t>
  </si>
  <si>
    <t>Case 03</t>
  </si>
  <si>
    <t>Case 04</t>
  </si>
  <si>
    <t>Case 05</t>
  </si>
  <si>
    <t>Case 06</t>
  </si>
  <si>
    <t>Case 07</t>
  </si>
  <si>
    <t>Case 08</t>
  </si>
  <si>
    <t>Case 09</t>
  </si>
  <si>
    <t>平均绝对偏差 (Mean / MAE)</t>
  </si>
  <si>
    <t>均方根偏差 (RMSE)</t>
  </si>
  <si>
    <t>最大绝对偏差 (Max Deviation)</t>
  </si>
  <si>
    <t>实验一：不同洋流流速 (0.00~1.00 m/s) 关节水阻峰值、二次方定律拟合偏差及电机额定安全裕度表</t>
  </si>
  <si>
    <t>海况等级说明
Condition</t>
  </si>
  <si>
    <t>J1 水阻峰值
(N·m)</t>
  </si>
  <si>
    <t>J1 二次方理论拟合
0.168+12.714*Vc²</t>
  </si>
  <si>
    <t>J1 二次方拟合绝对偏差
(N·m)</t>
  </si>
  <si>
    <t>J1 二次方拟合相对偏差
(%)</t>
  </si>
  <si>
    <t>J2 水阻峰值
(N·m)</t>
  </si>
  <si>
    <t>J3 水阻峰值
(N·m)</t>
  </si>
  <si>
    <t>J1 总力矩峰值
(N·m)</t>
  </si>
  <si>
    <t>J2 总力矩峰值
(N·m)</t>
  </si>
  <si>
    <t>J3 总力矩峰值
(N·m)</t>
  </si>
  <si>
    <t>系统总能耗
(J)</t>
  </si>
  <si>
    <t>距10N·m额定上限余量
10.0 - J1_Total (N·m)</t>
  </si>
  <si>
    <t>电机安全裕度百分比
Margin (%)</t>
  </si>
  <si>
    <t>静水基准</t>
  </si>
  <si>
    <t>0.5节微流</t>
  </si>
  <si>
    <t>1.0节中流</t>
  </si>
  <si>
    <t>1.5节强流</t>
  </si>
  <si>
    <t>2.0节极限流</t>
  </si>
  <si>
    <t>实验二：不同来流方位角 (0°~90°, Vc=0.50 m/s) 多轴水动力耦合与相对于正迎流基准的转移偏差表</t>
  </si>
  <si>
    <t>流向工况描述
Flow Regime</t>
  </si>
  <si>
    <t>J1 相对0°基准偏移量
ΔJ1 (N·m)</t>
  </si>
  <si>
    <t>J1 水阻衰减率
(%)</t>
  </si>
  <si>
    <t>J2 相对0°基准增长量
ΔJ2 (N·m)</t>
  </si>
  <si>
    <t>J2 侧向载荷增幅
(%)</t>
  </si>
  <si>
    <t>J2/J1 侧向耦合比
Ratio (J2/J1)</t>
  </si>
  <si>
    <t>负荷主控关节
Dominant Axis</t>
  </si>
  <si>
    <t>正迎流 (船首直冲)</t>
  </si>
  <si>
    <t>关节 1 (基座水平扫掠)</t>
  </si>
  <si>
    <t>偏前斜流</t>
  </si>
  <si>
    <t>关节 1 / 关节 2 耦合</t>
  </si>
  <si>
    <t>45°斜交流</t>
  </si>
  <si>
    <t>关节 1 / 关节 2 均担</t>
  </si>
  <si>
    <t>偏侧向流</t>
  </si>
  <si>
    <t>关节 2 (肩部俯仰承重)</t>
  </si>
  <si>
    <t>正横流 (纯侧向流)</t>
  </si>
  <si>
    <t>水下机械臂 CAD 真实几何网格迎水面积与三维有限展长阻力系数 (Cd) 标定折减偏差表</t>
  </si>
  <si>
    <t>CAD 连杆部件
Link Name</t>
  </si>
  <si>
    <t>对应驱动关节
Joint</t>
  </si>
  <si>
    <t>包络宽度 X
(m)</t>
  </si>
  <si>
    <t>包络厚度 Y
(m)</t>
  </si>
  <si>
    <t>轴向展长 Z
(m)</t>
  </si>
  <si>
    <t>圆柱外包络面积
A_bbox (m²)</t>
  </si>
  <si>
    <t>STL前向实测投影
A_proj_front (m²)</t>
  </si>
  <si>
    <t>STL侧向实测投影
A_proj_side (m²)</t>
  </si>
  <si>
    <t>真实镂空折减率
(A_front-A_bbox)/A_bbox</t>
  </si>
  <si>
    <t>无限长2D理论Cd
Cd_2D</t>
  </si>
  <si>
    <t>Fluent 3D标定Cd
Cd_3D_CFD</t>
  </si>
  <si>
    <t>3D绕流Cd折减偏差
(Cd_3D-Cd_2D)/Cd_2D</t>
  </si>
  <si>
    <t>link_002 (基座回转塔)</t>
  </si>
  <si>
    <t>J1 (Z轴偏航)</t>
  </si>
  <si>
    <t>link_003 (大臂连杆)</t>
  </si>
  <si>
    <t>J2 (Y轴俯仰)</t>
  </si>
  <si>
    <t>link_004 (前臂与夹爪)</t>
  </si>
  <si>
    <t>J3 (Y轴俯仰)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</si>
</sst>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"/>
    <numFmt numFmtId="177" formatCode="0.0000"/>
    <numFmt numFmtId="178" formatCode="\+0.0000;\-0.0000;0.0000"/>
    <numFmt numFmtId="179" formatCode="0.000"/>
  </numFmts>
  <fonts count="13" x14ac:knownFonts="1">
    <font>
      <sz val="11"/>
      <color theme="1"/>
      <name val="宋体"/>
      <family val="2"/>
      <scheme val="minor"/>
    </font>
    <font>
      <b/>
      <sz val="14"/>
      <color rgb="FFFFFFFF"/>
      <name val="Arial"/>
    </font>
    <font>
      <i/>
      <sz val="10"/>
      <color rgb="FF1F4E79"/>
      <name val="Arial"/>
    </font>
    <font>
      <b/>
      <sz val="10"/>
      <color rgb="FFFFFFFF"/>
      <name val="Arial"/>
    </font>
    <font>
      <b/>
      <sz val="9"/>
      <color rgb="FF1F4E79"/>
      <name val="Arial"/>
    </font>
    <font>
      <b/>
      <sz val="10"/>
      <color rgb="FF000000"/>
      <name val="Arial"/>
    </font>
    <font>
      <sz val="10"/>
      <color rgb="FF0000FF"/>
      <name val="Arial"/>
    </font>
    <font>
      <sz val="10"/>
      <color rgb="FF000000"/>
      <name val="Arial"/>
    </font>
    <font>
      <b/>
      <sz val="10"/>
      <color rgb="FF006100"/>
      <name val="Arial"/>
    </font>
    <font>
      <b/>
      <sz val="11"/>
      <color rgb="FF1F4E79"/>
      <name val="Arial"/>
    </font>
    <font>
      <b/>
      <sz val="10"/>
      <color rgb="FF008000"/>
      <name val="Arial"/>
    </font>
    <font>
      <b/>
      <sz val="10"/>
      <color rgb="FF9C0006"/>
      <name val="Arial"/>
    </font>
    <font>
      <sz val="9"/>
      <name val="宋体"/>
      <family val="3"/>
      <charset val="134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FF2CC"/>
        <bgColor rgb="FFFFF2CC"/>
      </patternFill>
    </fill>
    <fill>
      <patternFill patternType="solid">
        <fgColor rgb="FF2F5597"/>
        <bgColor rgb="FF2F5597"/>
      </patternFill>
    </fill>
    <fill>
      <patternFill patternType="solid">
        <fgColor rgb="FF385723"/>
        <bgColor rgb="FF385723"/>
      </patternFill>
    </fill>
    <fill>
      <patternFill patternType="solid">
        <fgColor rgb="FF833C0C"/>
        <bgColor rgb="FF833C0C"/>
      </patternFill>
    </fill>
    <fill>
      <patternFill patternType="solid">
        <fgColor rgb="FF595959"/>
        <bgColor rgb="FF595959"/>
      </patternFill>
    </fill>
    <fill>
      <patternFill patternType="solid">
        <fgColor rgb="FFD9E1F2"/>
        <bgColor rgb="FFD9E1F2"/>
      </patternFill>
    </fill>
    <fill>
      <patternFill patternType="solid">
        <fgColor rgb="FFFFFFFF"/>
        <bgColor rgb="FFFFFFFF"/>
      </patternFill>
    </fill>
    <fill>
      <patternFill patternType="solid">
        <fgColor rgb="FFF9FAFC"/>
        <bgColor rgb="FFF9FAFC"/>
      </patternFill>
    </fill>
    <fill>
      <patternFill patternType="solid">
        <fgColor rgb="FFEDEDED"/>
        <bgColor rgb="FFEDEDED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medium">
        <color rgb="FF1F4E79"/>
      </top>
      <bottom style="medium">
        <color rgb="FF1F4E79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4" fillId="8" borderId="1" xfId="0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center" vertical="center" wrapText="1"/>
    </xf>
    <xf numFmtId="2" fontId="6" fillId="9" borderId="2" xfId="0" applyNumberFormat="1" applyFont="1" applyFill="1" applyBorder="1" applyAlignment="1">
      <alignment horizontal="right" vertical="center" wrapText="1"/>
    </xf>
    <xf numFmtId="176" fontId="6" fillId="9" borderId="2" xfId="0" applyNumberFormat="1" applyFont="1" applyFill="1" applyBorder="1" applyAlignment="1">
      <alignment horizontal="right" vertical="center" wrapText="1"/>
    </xf>
    <xf numFmtId="177" fontId="6" fillId="9" borderId="2" xfId="0" applyNumberFormat="1" applyFont="1" applyFill="1" applyBorder="1" applyAlignment="1">
      <alignment horizontal="right" vertical="center" wrapText="1"/>
    </xf>
    <xf numFmtId="177" fontId="5" fillId="9" borderId="2" xfId="0" applyNumberFormat="1" applyFont="1" applyFill="1" applyBorder="1" applyAlignment="1">
      <alignment horizontal="right" vertical="center" wrapText="1"/>
    </xf>
    <xf numFmtId="177" fontId="8" fillId="9" borderId="2" xfId="0" applyNumberFormat="1" applyFont="1" applyFill="1" applyBorder="1" applyAlignment="1">
      <alignment horizontal="right" vertical="center" wrapText="1"/>
    </xf>
    <xf numFmtId="10" fontId="8" fillId="9" borderId="2" xfId="0" applyNumberFormat="1" applyFont="1" applyFill="1" applyBorder="1" applyAlignment="1">
      <alignment horizontal="right" vertical="center" wrapText="1"/>
    </xf>
    <xf numFmtId="0" fontId="5" fillId="10" borderId="2" xfId="0" applyFont="1" applyFill="1" applyBorder="1" applyAlignment="1">
      <alignment horizontal="center" vertical="center" wrapText="1"/>
    </xf>
    <xf numFmtId="2" fontId="6" fillId="10" borderId="2" xfId="0" applyNumberFormat="1" applyFont="1" applyFill="1" applyBorder="1" applyAlignment="1">
      <alignment horizontal="right" vertical="center" wrapText="1"/>
    </xf>
    <xf numFmtId="176" fontId="6" fillId="10" borderId="2" xfId="0" applyNumberFormat="1" applyFont="1" applyFill="1" applyBorder="1" applyAlignment="1">
      <alignment horizontal="right" vertical="center" wrapText="1"/>
    </xf>
    <xf numFmtId="177" fontId="6" fillId="10" borderId="2" xfId="0" applyNumberFormat="1" applyFont="1" applyFill="1" applyBorder="1" applyAlignment="1">
      <alignment horizontal="right" vertical="center" wrapText="1"/>
    </xf>
    <xf numFmtId="177" fontId="5" fillId="10" borderId="2" xfId="0" applyNumberFormat="1" applyFont="1" applyFill="1" applyBorder="1" applyAlignment="1">
      <alignment horizontal="right" vertical="center" wrapText="1"/>
    </xf>
    <xf numFmtId="177" fontId="8" fillId="10" borderId="2" xfId="0" applyNumberFormat="1" applyFont="1" applyFill="1" applyBorder="1" applyAlignment="1">
      <alignment horizontal="right" vertical="center" wrapText="1"/>
    </xf>
    <xf numFmtId="10" fontId="8" fillId="10" borderId="2" xfId="0" applyNumberFormat="1" applyFont="1" applyFill="1" applyBorder="1" applyAlignment="1">
      <alignment horizontal="right" vertical="center" wrapText="1"/>
    </xf>
    <xf numFmtId="177" fontId="5" fillId="11" borderId="2" xfId="0" applyNumberFormat="1" applyFont="1" applyFill="1" applyBorder="1" applyAlignment="1">
      <alignment horizontal="right" vertical="center" wrapText="1"/>
    </xf>
    <xf numFmtId="177" fontId="8" fillId="12" borderId="2" xfId="0" applyNumberFormat="1" applyFont="1" applyFill="1" applyBorder="1" applyAlignment="1">
      <alignment horizontal="right" vertical="center" wrapText="1"/>
    </xf>
    <xf numFmtId="10" fontId="8" fillId="12" borderId="2" xfId="0" applyNumberFormat="1" applyFont="1" applyFill="1" applyBorder="1" applyAlignment="1">
      <alignment horizontal="right" vertical="center" wrapText="1"/>
    </xf>
    <xf numFmtId="0" fontId="5" fillId="11" borderId="3" xfId="0" applyFont="1" applyFill="1" applyBorder="1"/>
    <xf numFmtId="177" fontId="5" fillId="11" borderId="3" xfId="0" applyNumberFormat="1" applyFont="1" applyFill="1" applyBorder="1" applyAlignment="1">
      <alignment horizontal="right" vertical="center" wrapText="1"/>
    </xf>
    <xf numFmtId="10" fontId="8" fillId="12" borderId="3" xfId="0" applyNumberFormat="1" applyFont="1" applyFill="1" applyBorder="1" applyAlignment="1">
      <alignment horizontal="right" vertical="center" wrapText="1"/>
    </xf>
    <xf numFmtId="0" fontId="9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177" fontId="10" fillId="0" borderId="2" xfId="0" applyNumberFormat="1" applyFont="1" applyBorder="1" applyAlignment="1">
      <alignment horizontal="right" vertical="center" wrapText="1"/>
    </xf>
    <xf numFmtId="10" fontId="10" fillId="0" borderId="2" xfId="0" applyNumberFormat="1" applyFont="1" applyBorder="1" applyAlignment="1">
      <alignment horizontal="right" vertical="center" wrapText="1"/>
    </xf>
    <xf numFmtId="178" fontId="8" fillId="0" borderId="2" xfId="0" applyNumberFormat="1" applyFont="1" applyBorder="1" applyAlignment="1">
      <alignment horizontal="right" vertical="center" wrapText="1"/>
    </xf>
    <xf numFmtId="10" fontId="5" fillId="11" borderId="3" xfId="0" applyNumberFormat="1" applyFont="1" applyFill="1" applyBorder="1" applyAlignment="1">
      <alignment horizontal="right" vertical="center" wrapText="1"/>
    </xf>
    <xf numFmtId="10" fontId="5" fillId="12" borderId="3" xfId="0" applyNumberFormat="1" applyFont="1" applyFill="1" applyBorder="1" applyAlignment="1">
      <alignment horizontal="right" vertical="center" wrapText="1"/>
    </xf>
    <xf numFmtId="1" fontId="7" fillId="0" borderId="2" xfId="0" applyNumberFormat="1" applyFont="1" applyBorder="1" applyAlignment="1">
      <alignment horizontal="center" vertical="center" wrapText="1"/>
    </xf>
    <xf numFmtId="177" fontId="7" fillId="0" borderId="2" xfId="0" applyNumberFormat="1" applyFont="1" applyBorder="1" applyAlignment="1">
      <alignment horizontal="right" vertical="center" wrapText="1"/>
    </xf>
    <xf numFmtId="177" fontId="5" fillId="0" borderId="2" xfId="0" applyNumberFormat="1" applyFont="1" applyBorder="1" applyAlignment="1">
      <alignment horizontal="right" vertical="center" wrapText="1"/>
    </xf>
    <xf numFmtId="10" fontId="5" fillId="0" borderId="2" xfId="0" applyNumberFormat="1" applyFont="1" applyBorder="1" applyAlignment="1">
      <alignment horizontal="right" vertical="center" wrapText="1"/>
    </xf>
    <xf numFmtId="178" fontId="7" fillId="9" borderId="2" xfId="0" applyNumberFormat="1" applyFont="1" applyFill="1" applyBorder="1" applyAlignment="1">
      <alignment horizontal="right" vertical="center" wrapText="1"/>
    </xf>
    <xf numFmtId="177" fontId="7" fillId="9" borderId="2" xfId="0" applyNumberFormat="1" applyFont="1" applyFill="1" applyBorder="1" applyAlignment="1">
      <alignment horizontal="right" vertical="center" wrapText="1"/>
    </xf>
    <xf numFmtId="10" fontId="7" fillId="9" borderId="2" xfId="0" applyNumberFormat="1" applyFont="1" applyFill="1" applyBorder="1" applyAlignment="1">
      <alignment horizontal="right" vertical="center" wrapText="1"/>
    </xf>
    <xf numFmtId="178" fontId="8" fillId="9" borderId="2" xfId="0" applyNumberFormat="1" applyFont="1" applyFill="1" applyBorder="1" applyAlignment="1">
      <alignment horizontal="right" vertical="center" wrapText="1"/>
    </xf>
    <xf numFmtId="10" fontId="5" fillId="9" borderId="2" xfId="0" applyNumberFormat="1" applyFont="1" applyFill="1" applyBorder="1" applyAlignment="1">
      <alignment horizontal="right" vertical="center" wrapText="1"/>
    </xf>
    <xf numFmtId="178" fontId="7" fillId="10" borderId="2" xfId="0" applyNumberFormat="1" applyFont="1" applyFill="1" applyBorder="1" applyAlignment="1">
      <alignment horizontal="right" vertical="center" wrapText="1"/>
    </xf>
    <xf numFmtId="177" fontId="7" fillId="10" borderId="2" xfId="0" applyNumberFormat="1" applyFont="1" applyFill="1" applyBorder="1" applyAlignment="1">
      <alignment horizontal="right" vertical="center" wrapText="1"/>
    </xf>
    <xf numFmtId="10" fontId="7" fillId="10" borderId="2" xfId="0" applyNumberFormat="1" applyFont="1" applyFill="1" applyBorder="1" applyAlignment="1">
      <alignment horizontal="right" vertical="center" wrapText="1"/>
    </xf>
    <xf numFmtId="178" fontId="8" fillId="10" borderId="2" xfId="0" applyNumberFormat="1" applyFont="1" applyFill="1" applyBorder="1" applyAlignment="1">
      <alignment horizontal="right" vertical="center" wrapText="1"/>
    </xf>
    <xf numFmtId="10" fontId="5" fillId="10" borderId="2" xfId="0" applyNumberFormat="1" applyFont="1" applyFill="1" applyBorder="1" applyAlignment="1">
      <alignment horizontal="right" vertical="center" wrapText="1"/>
    </xf>
    <xf numFmtId="10" fontId="5" fillId="11" borderId="2" xfId="0" applyNumberFormat="1" applyFont="1" applyFill="1" applyBorder="1" applyAlignment="1">
      <alignment horizontal="right" vertical="center" wrapText="1"/>
    </xf>
    <xf numFmtId="0" fontId="5" fillId="0" borderId="2" xfId="0" applyFont="1" applyBorder="1" applyAlignment="1">
      <alignment horizontal="center" vertical="center" wrapText="1"/>
    </xf>
    <xf numFmtId="2" fontId="6" fillId="0" borderId="2" xfId="0" applyNumberFormat="1" applyFont="1" applyBorder="1"/>
    <xf numFmtId="176" fontId="6" fillId="0" borderId="2" xfId="0" applyNumberFormat="1" applyFont="1" applyBorder="1"/>
    <xf numFmtId="179" fontId="6" fillId="0" borderId="2" xfId="0" applyNumberFormat="1" applyFont="1" applyBorder="1" applyAlignment="1">
      <alignment horizontal="right" vertical="center" wrapText="1"/>
    </xf>
    <xf numFmtId="179" fontId="7" fillId="0" borderId="2" xfId="0" applyNumberFormat="1" applyFont="1" applyBorder="1" applyAlignment="1">
      <alignment horizontal="right" vertical="center" wrapText="1"/>
    </xf>
    <xf numFmtId="179" fontId="5" fillId="0" borderId="2" xfId="0" applyNumberFormat="1" applyFont="1" applyBorder="1" applyAlignment="1">
      <alignment horizontal="right" vertical="center" wrapText="1"/>
    </xf>
    <xf numFmtId="179" fontId="5" fillId="11" borderId="2" xfId="0" applyNumberFormat="1" applyFont="1" applyFill="1" applyBorder="1" applyAlignment="1">
      <alignment horizontal="right" vertical="center" wrapText="1"/>
    </xf>
    <xf numFmtId="179" fontId="5" fillId="11" borderId="3" xfId="0" applyNumberFormat="1" applyFont="1" applyFill="1" applyBorder="1" applyAlignment="1">
      <alignment horizontal="right" vertical="center" wrapText="1"/>
    </xf>
    <xf numFmtId="2" fontId="6" fillId="0" borderId="2" xfId="0" applyNumberFormat="1" applyFont="1" applyBorder="1" applyAlignment="1">
      <alignment horizontal="center" vertical="center" wrapText="1"/>
    </xf>
    <xf numFmtId="10" fontId="7" fillId="0" borderId="2" xfId="0" applyNumberFormat="1" applyFont="1" applyBorder="1" applyAlignment="1">
      <alignment horizontal="right" vertical="center" wrapText="1"/>
    </xf>
    <xf numFmtId="179" fontId="8" fillId="12" borderId="2" xfId="0" applyNumberFormat="1" applyFont="1" applyFill="1" applyBorder="1" applyAlignment="1">
      <alignment horizontal="right" vertical="center" wrapText="1"/>
    </xf>
    <xf numFmtId="179" fontId="11" fillId="13" borderId="2" xfId="0" applyNumberFormat="1" applyFont="1" applyFill="1" applyBorder="1" applyAlignment="1">
      <alignment horizontal="right" vertical="center" wrapText="1"/>
    </xf>
    <xf numFmtId="10" fontId="11" fillId="13" borderId="2" xfId="0" applyNumberFormat="1" applyFont="1" applyFill="1" applyBorder="1" applyAlignment="1">
      <alignment horizontal="right" vertical="center" wrapText="1"/>
    </xf>
    <xf numFmtId="176" fontId="6" fillId="0" borderId="2" xfId="0" applyNumberFormat="1" applyFont="1" applyBorder="1" applyAlignment="1">
      <alignment horizontal="center" vertical="center" wrapText="1"/>
    </xf>
    <xf numFmtId="0" fontId="5" fillId="0" borderId="2" xfId="0" applyFont="1" applyBorder="1"/>
    <xf numFmtId="0" fontId="0" fillId="0" borderId="2" xfId="0" applyBorder="1" applyAlignment="1">
      <alignment horizontal="center" vertical="center" wrapText="1"/>
    </xf>
    <xf numFmtId="177" fontId="0" fillId="0" borderId="2" xfId="0" applyNumberFormat="1" applyBorder="1" applyAlignment="1">
      <alignment horizontal="right" vertical="center" wrapText="1"/>
    </xf>
    <xf numFmtId="10" fontId="0" fillId="0" borderId="2" xfId="0" applyNumberFormat="1" applyBorder="1" applyAlignment="1">
      <alignment horizontal="right" vertical="center" wrapText="1"/>
    </xf>
    <xf numFmtId="2" fontId="0" fillId="0" borderId="2" xfId="0" applyNumberFormat="1" applyBorder="1" applyAlignment="1">
      <alignment horizontal="right" vertical="center" wrapText="1"/>
    </xf>
    <xf numFmtId="0" fontId="5" fillId="11" borderId="3" xfId="0" applyFont="1" applyFill="1" applyBorder="1"/>
    <xf numFmtId="0" fontId="0" fillId="11" borderId="3" xfId="0" applyFill="1" applyBorder="1"/>
    <xf numFmtId="0" fontId="5" fillId="11" borderId="2" xfId="0" applyFont="1" applyFill="1" applyBorder="1"/>
    <xf numFmtId="0" fontId="0" fillId="11" borderId="2" xfId="0" applyFill="1" applyBorder="1"/>
    <xf numFmtId="0" fontId="2" fillId="3" borderId="0" xfId="0" applyFont="1" applyFill="1" applyAlignment="1">
      <alignment horizontal="left" vertical="center" wrapText="1"/>
    </xf>
    <xf numFmtId="0" fontId="0" fillId="0" borderId="0" xfId="0"/>
    <xf numFmtId="0" fontId="3" fillId="4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3" fillId="7" borderId="0" xfId="0" applyFont="1" applyFill="1" applyAlignment="1">
      <alignment horizontal="center" vertical="center" wrapText="1"/>
    </xf>
    <xf numFmtId="0" fontId="3" fillId="6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5" fillId="11" borderId="2" xfId="0" applyFont="1" applyFill="1" applyBorder="1" applyAlignment="1">
      <alignment horizontal="left" vertical="center" wrapText="1"/>
    </xf>
    <xf numFmtId="0" fontId="5" fillId="11" borderId="3" xfId="0" applyFont="1" applyFill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0"/>
  <sheetViews>
    <sheetView tabSelected="1" workbookViewId="0">
      <pane xSplit="3" ySplit="4" topLeftCell="D5" activePane="bottomRight" state="frozen"/>
      <selection pane="topRight"/>
      <selection pane="bottomLeft"/>
      <selection pane="bottomRight" sqref="A1:N1"/>
    </sheetView>
  </sheetViews>
  <sheetFormatPr defaultRowHeight="14" x14ac:dyDescent="0.25"/>
  <cols>
    <col min="1" max="1" width="28" customWidth="1"/>
    <col min="2" max="2" width="15" customWidth="1"/>
    <col min="3" max="3" width="17" customWidth="1"/>
    <col min="4" max="4" width="28" customWidth="1"/>
    <col min="5" max="5" width="22" customWidth="1"/>
    <col min="6" max="6" width="26" customWidth="1"/>
    <col min="7" max="7" width="28" customWidth="1"/>
    <col min="8" max="8" width="22" customWidth="1"/>
    <col min="9" max="9" width="26" customWidth="1"/>
    <col min="10" max="10" width="28" customWidth="1"/>
    <col min="11" max="11" width="22" customWidth="1"/>
    <col min="12" max="12" width="26" customWidth="1"/>
    <col min="13" max="13" width="28" customWidth="1"/>
    <col min="14" max="14" width="26" customWidth="1"/>
  </cols>
  <sheetData>
    <row r="1" spans="1:14" ht="32" customHeight="1" x14ac:dyDescent="0.25">
      <c r="A1" s="75" t="s">
        <v>0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</row>
    <row r="2" spans="1:14" ht="24" customHeight="1" x14ac:dyDescent="0.25">
      <c r="A2" s="68" t="s">
        <v>1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</row>
    <row r="3" spans="1:14" ht="24" customHeight="1" x14ac:dyDescent="0.25">
      <c r="A3" s="71" t="s">
        <v>2</v>
      </c>
      <c r="B3" s="69"/>
      <c r="C3" s="69"/>
      <c r="D3" s="70" t="s">
        <v>3</v>
      </c>
      <c r="E3" s="69"/>
      <c r="F3" s="69"/>
      <c r="G3" s="72" t="s">
        <v>4</v>
      </c>
      <c r="H3" s="69"/>
      <c r="I3" s="69"/>
      <c r="J3" s="74" t="s">
        <v>5</v>
      </c>
      <c r="K3" s="69"/>
      <c r="L3" s="69"/>
      <c r="M3" s="73" t="s">
        <v>6</v>
      </c>
      <c r="N3" s="69"/>
    </row>
    <row r="4" spans="1:14" ht="30" customHeight="1" x14ac:dyDescent="0.25">
      <c r="A4" s="1" t="s">
        <v>7</v>
      </c>
      <c r="B4" s="1" t="s">
        <v>8</v>
      </c>
      <c r="C4" s="1" t="s">
        <v>9</v>
      </c>
      <c r="D4" s="1" t="s">
        <v>10</v>
      </c>
      <c r="E4" s="1" t="s">
        <v>11</v>
      </c>
      <c r="F4" s="1" t="s">
        <v>12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18</v>
      </c>
      <c r="M4" s="1" t="s">
        <v>19</v>
      </c>
      <c r="N4" s="1" t="s">
        <v>20</v>
      </c>
    </row>
    <row r="5" spans="1:14" ht="19" customHeight="1" x14ac:dyDescent="0.25">
      <c r="A5" s="2" t="s">
        <v>21</v>
      </c>
      <c r="B5" s="3">
        <v>0</v>
      </c>
      <c r="C5" s="4">
        <v>0</v>
      </c>
      <c r="D5" s="5">
        <v>8.6E-3</v>
      </c>
      <c r="E5" s="5">
        <v>7.7999999999999996E-3</v>
      </c>
      <c r="F5" s="6">
        <f t="shared" ref="F5:F36" si="0">ABS(E5-D5)</f>
        <v>8.0000000000000036E-4</v>
      </c>
      <c r="G5" s="5">
        <v>7.3000000000000001E-3</v>
      </c>
      <c r="H5" s="5">
        <v>7.1999999999999998E-3</v>
      </c>
      <c r="I5" s="6">
        <f t="shared" ref="I5:I36" si="1">ABS(H5-G5)</f>
        <v>1.0000000000000026E-4</v>
      </c>
      <c r="J5" s="5">
        <v>1.41E-2</v>
      </c>
      <c r="K5" s="5">
        <v>1.4E-2</v>
      </c>
      <c r="L5" s="6">
        <f t="shared" ref="L5:L36" si="2">ABS(K5-J5)</f>
        <v>9.9999999999999395E-5</v>
      </c>
      <c r="M5" s="7">
        <f t="shared" ref="M5:M36" si="3">AVERAGE(F5,I5,L5)</f>
        <v>3.3333333333333332E-4</v>
      </c>
      <c r="N5" s="8">
        <f>'2_52组全量工况与偏差明细'!AG5</f>
        <v>2.2215828185788564E-5</v>
      </c>
    </row>
    <row r="6" spans="1:14" ht="19" customHeight="1" x14ac:dyDescent="0.25">
      <c r="A6" s="9" t="s">
        <v>22</v>
      </c>
      <c r="B6" s="10">
        <v>0</v>
      </c>
      <c r="C6" s="11">
        <v>15</v>
      </c>
      <c r="D6" s="12">
        <v>8.6999999999999994E-3</v>
      </c>
      <c r="E6" s="12">
        <v>7.7999999999999996E-3</v>
      </c>
      <c r="F6" s="13">
        <f t="shared" si="0"/>
        <v>8.9999999999999976E-4</v>
      </c>
      <c r="G6" s="12">
        <v>7.1000000000000004E-3</v>
      </c>
      <c r="H6" s="12">
        <v>7.1999999999999998E-3</v>
      </c>
      <c r="I6" s="13">
        <f t="shared" si="1"/>
        <v>9.9999999999999395E-5</v>
      </c>
      <c r="J6" s="12">
        <v>1.5100000000000001E-2</v>
      </c>
      <c r="K6" s="12">
        <v>1.4E-2</v>
      </c>
      <c r="L6" s="13">
        <f t="shared" si="2"/>
        <v>1.1000000000000003E-3</v>
      </c>
      <c r="M6" s="14">
        <f t="shared" si="3"/>
        <v>6.9999999999999978E-4</v>
      </c>
      <c r="N6" s="15">
        <f>'2_52组全量工况与偏差明细'!AG6</f>
        <v>8.0833231295226505E-5</v>
      </c>
    </row>
    <row r="7" spans="1:14" ht="19" customHeight="1" x14ac:dyDescent="0.25">
      <c r="A7" s="2" t="s">
        <v>23</v>
      </c>
      <c r="B7" s="3">
        <v>0</v>
      </c>
      <c r="C7" s="4">
        <v>30</v>
      </c>
      <c r="D7" s="5">
        <v>9.1000000000000004E-3</v>
      </c>
      <c r="E7" s="5">
        <v>7.7999999999999996E-3</v>
      </c>
      <c r="F7" s="6">
        <f t="shared" si="0"/>
        <v>1.3000000000000008E-3</v>
      </c>
      <c r="G7" s="5">
        <v>7.3000000000000001E-3</v>
      </c>
      <c r="H7" s="5">
        <v>7.1999999999999998E-3</v>
      </c>
      <c r="I7" s="6">
        <f t="shared" si="1"/>
        <v>1.0000000000000026E-4</v>
      </c>
      <c r="J7" s="5">
        <v>1.44E-2</v>
      </c>
      <c r="K7" s="5">
        <v>1.4E-2</v>
      </c>
      <c r="L7" s="6">
        <f t="shared" si="2"/>
        <v>3.9999999999999931E-4</v>
      </c>
      <c r="M7" s="7">
        <f t="shared" si="3"/>
        <v>6.0000000000000016E-4</v>
      </c>
      <c r="N7" s="8">
        <f>'2_52组全量工况与偏差明细'!AG7</f>
        <v>4.8953529440787242E-5</v>
      </c>
    </row>
    <row r="8" spans="1:14" ht="19" customHeight="1" x14ac:dyDescent="0.25">
      <c r="A8" s="9" t="s">
        <v>24</v>
      </c>
      <c r="B8" s="10">
        <v>0</v>
      </c>
      <c r="C8" s="11">
        <v>45</v>
      </c>
      <c r="D8" s="12">
        <v>8.8999999999999999E-3</v>
      </c>
      <c r="E8" s="12">
        <v>7.7999999999999996E-3</v>
      </c>
      <c r="F8" s="13">
        <f t="shared" si="0"/>
        <v>1.1000000000000003E-3</v>
      </c>
      <c r="G8" s="12">
        <v>7.3000000000000001E-3</v>
      </c>
      <c r="H8" s="12">
        <v>7.1999999999999998E-3</v>
      </c>
      <c r="I8" s="13">
        <f t="shared" si="1"/>
        <v>1.0000000000000026E-4</v>
      </c>
      <c r="J8" s="12">
        <v>1.4999999999999999E-2</v>
      </c>
      <c r="K8" s="12">
        <v>1.4E-2</v>
      </c>
      <c r="L8" s="13">
        <f t="shared" si="2"/>
        <v>9.9999999999999915E-4</v>
      </c>
      <c r="M8" s="14">
        <f t="shared" si="3"/>
        <v>7.3333333333333323E-4</v>
      </c>
      <c r="N8" s="15">
        <f>'2_52组全量工况与偏差明细'!AG8</f>
        <v>7.9060897085676568E-5</v>
      </c>
    </row>
    <row r="9" spans="1:14" ht="19" customHeight="1" x14ac:dyDescent="0.25">
      <c r="A9" s="2" t="s">
        <v>25</v>
      </c>
      <c r="B9" s="3">
        <v>0</v>
      </c>
      <c r="C9" s="4">
        <v>60</v>
      </c>
      <c r="D9" s="5">
        <v>8.6E-3</v>
      </c>
      <c r="E9" s="5">
        <v>7.7999999999999996E-3</v>
      </c>
      <c r="F9" s="6">
        <f t="shared" si="0"/>
        <v>8.0000000000000036E-4</v>
      </c>
      <c r="G9" s="5">
        <v>7.3000000000000001E-3</v>
      </c>
      <c r="H9" s="5">
        <v>7.1999999999999998E-3</v>
      </c>
      <c r="I9" s="6">
        <f t="shared" si="1"/>
        <v>1.0000000000000026E-4</v>
      </c>
      <c r="J9" s="5">
        <v>1.41E-2</v>
      </c>
      <c r="K9" s="5">
        <v>1.4E-2</v>
      </c>
      <c r="L9" s="6">
        <f t="shared" si="2"/>
        <v>9.9999999999999395E-5</v>
      </c>
      <c r="M9" s="7">
        <f t="shared" si="3"/>
        <v>3.3333333333333332E-4</v>
      </c>
      <c r="N9" s="8">
        <f>'2_52组全量工况与偏差明细'!AG9</f>
        <v>2.2215828185788564E-5</v>
      </c>
    </row>
    <row r="10" spans="1:14" ht="19" customHeight="1" x14ac:dyDescent="0.25">
      <c r="A10" s="9" t="s">
        <v>26</v>
      </c>
      <c r="B10" s="10">
        <v>0</v>
      </c>
      <c r="C10" s="11">
        <v>75</v>
      </c>
      <c r="D10" s="12">
        <v>8.6E-3</v>
      </c>
      <c r="E10" s="12">
        <v>7.7999999999999996E-3</v>
      </c>
      <c r="F10" s="13">
        <f t="shared" si="0"/>
        <v>8.0000000000000036E-4</v>
      </c>
      <c r="G10" s="12">
        <v>7.3000000000000001E-3</v>
      </c>
      <c r="H10" s="12">
        <v>7.1999999999999998E-3</v>
      </c>
      <c r="I10" s="13">
        <f t="shared" si="1"/>
        <v>1.0000000000000026E-4</v>
      </c>
      <c r="J10" s="12">
        <v>1.41E-2</v>
      </c>
      <c r="K10" s="12">
        <v>1.4E-2</v>
      </c>
      <c r="L10" s="13">
        <f t="shared" si="2"/>
        <v>9.9999999999999395E-5</v>
      </c>
      <c r="M10" s="14">
        <f t="shared" si="3"/>
        <v>3.3333333333333332E-4</v>
      </c>
      <c r="N10" s="15">
        <f>'2_52组全量工况与偏差明细'!AG10</f>
        <v>2.2215828185788564E-5</v>
      </c>
    </row>
    <row r="11" spans="1:14" ht="19" customHeight="1" x14ac:dyDescent="0.25">
      <c r="A11" s="2" t="s">
        <v>27</v>
      </c>
      <c r="B11" s="3">
        <v>0</v>
      </c>
      <c r="C11" s="4">
        <v>90</v>
      </c>
      <c r="D11" s="5">
        <v>8.6E-3</v>
      </c>
      <c r="E11" s="5">
        <v>7.7999999999999996E-3</v>
      </c>
      <c r="F11" s="6">
        <f t="shared" si="0"/>
        <v>8.0000000000000036E-4</v>
      </c>
      <c r="G11" s="5">
        <v>7.3000000000000001E-3</v>
      </c>
      <c r="H11" s="5">
        <v>7.1999999999999998E-3</v>
      </c>
      <c r="I11" s="6">
        <f t="shared" si="1"/>
        <v>1.0000000000000026E-4</v>
      </c>
      <c r="J11" s="5">
        <v>1.41E-2</v>
      </c>
      <c r="K11" s="5">
        <v>1.4E-2</v>
      </c>
      <c r="L11" s="6">
        <f t="shared" si="2"/>
        <v>9.9999999999999395E-5</v>
      </c>
      <c r="M11" s="7">
        <f t="shared" si="3"/>
        <v>3.3333333333333332E-4</v>
      </c>
      <c r="N11" s="8">
        <f>'2_52组全量工况与偏差明细'!AG11</f>
        <v>2.2215828185788564E-5</v>
      </c>
    </row>
    <row r="12" spans="1:14" ht="19" customHeight="1" x14ac:dyDescent="0.25">
      <c r="A12" s="9" t="s">
        <v>28</v>
      </c>
      <c r="B12" s="10">
        <v>0.2</v>
      </c>
      <c r="C12" s="11">
        <v>0</v>
      </c>
      <c r="D12" s="12">
        <v>-0.432</v>
      </c>
      <c r="E12" s="12">
        <v>-0.38419999999999999</v>
      </c>
      <c r="F12" s="13">
        <f t="shared" si="0"/>
        <v>4.7800000000000009E-2</v>
      </c>
      <c r="G12" s="12">
        <v>-3.5799999999999998E-2</v>
      </c>
      <c r="H12" s="12">
        <v>-2.86E-2</v>
      </c>
      <c r="I12" s="13">
        <f t="shared" si="1"/>
        <v>7.1999999999999981E-3</v>
      </c>
      <c r="J12" s="12">
        <v>-2.4500000000000001E-2</v>
      </c>
      <c r="K12" s="12">
        <v>-2.2100000000000002E-2</v>
      </c>
      <c r="L12" s="13">
        <f t="shared" si="2"/>
        <v>2.3999999999999994E-3</v>
      </c>
      <c r="M12" s="14">
        <f t="shared" si="3"/>
        <v>1.9133333333333336E-2</v>
      </c>
      <c r="N12" s="15">
        <f>'2_52组全量工况与偏差明细'!AG12</f>
        <v>3.7088573684255062E-2</v>
      </c>
    </row>
    <row r="13" spans="1:14" ht="19" customHeight="1" x14ac:dyDescent="0.25">
      <c r="A13" s="2" t="s">
        <v>29</v>
      </c>
      <c r="B13" s="3">
        <v>0.2</v>
      </c>
      <c r="C13" s="4">
        <v>15</v>
      </c>
      <c r="D13" s="5">
        <v>-0.38400000000000001</v>
      </c>
      <c r="E13" s="5">
        <v>-0.34210000000000002</v>
      </c>
      <c r="F13" s="6">
        <f t="shared" si="0"/>
        <v>4.1899999999999993E-2</v>
      </c>
      <c r="G13" s="5">
        <v>-4.6100000000000002E-2</v>
      </c>
      <c r="H13" s="5">
        <v>-4.1200000000000001E-2</v>
      </c>
      <c r="I13" s="6">
        <f t="shared" si="1"/>
        <v>4.9000000000000016E-3</v>
      </c>
      <c r="J13" s="5">
        <v>2.2100000000000002E-2</v>
      </c>
      <c r="K13" s="5">
        <v>2.0500000000000001E-2</v>
      </c>
      <c r="L13" s="6">
        <f t="shared" si="2"/>
        <v>1.6000000000000007E-3</v>
      </c>
      <c r="M13" s="7">
        <f t="shared" si="3"/>
        <v>1.6133333333333333E-2</v>
      </c>
      <c r="N13" s="8">
        <f>'2_52组全量工况与偏差明细'!AG13</f>
        <v>3.6509736332614638E-2</v>
      </c>
    </row>
    <row r="14" spans="1:14" ht="19" customHeight="1" x14ac:dyDescent="0.25">
      <c r="A14" s="9" t="s">
        <v>30</v>
      </c>
      <c r="B14" s="10">
        <v>0.2</v>
      </c>
      <c r="C14" s="11">
        <v>30</v>
      </c>
      <c r="D14" s="12">
        <v>-0.32600000000000001</v>
      </c>
      <c r="E14" s="12">
        <v>-0.28910000000000002</v>
      </c>
      <c r="F14" s="13">
        <f t="shared" si="0"/>
        <v>3.6899999999999988E-2</v>
      </c>
      <c r="G14" s="12">
        <v>-7.0900000000000005E-2</v>
      </c>
      <c r="H14" s="12">
        <v>-6.54E-2</v>
      </c>
      <c r="I14" s="13">
        <f t="shared" si="1"/>
        <v>5.5000000000000049E-3</v>
      </c>
      <c r="J14" s="12">
        <v>7.8600000000000003E-2</v>
      </c>
      <c r="K14" s="12">
        <v>7.2099999999999997E-2</v>
      </c>
      <c r="L14" s="13">
        <f t="shared" si="2"/>
        <v>6.5000000000000058E-3</v>
      </c>
      <c r="M14" s="14">
        <f t="shared" si="3"/>
        <v>1.6299999999999999E-2</v>
      </c>
      <c r="N14" s="15">
        <f>'2_52组全量工况与偏差明细'!AG14</f>
        <v>9.1153811007252505E-2</v>
      </c>
    </row>
    <row r="15" spans="1:14" ht="19" customHeight="1" x14ac:dyDescent="0.25">
      <c r="A15" s="2" t="s">
        <v>31</v>
      </c>
      <c r="B15" s="3">
        <v>0.2</v>
      </c>
      <c r="C15" s="4">
        <v>45</v>
      </c>
      <c r="D15" s="5">
        <v>-0.20380000000000001</v>
      </c>
      <c r="E15" s="5">
        <v>-0.19819999999999999</v>
      </c>
      <c r="F15" s="6">
        <f t="shared" si="0"/>
        <v>5.6000000000000216E-3</v>
      </c>
      <c r="G15" s="5">
        <v>-9.6600000000000005E-2</v>
      </c>
      <c r="H15" s="5">
        <v>-9.01E-2</v>
      </c>
      <c r="I15" s="6">
        <f t="shared" si="1"/>
        <v>6.5000000000000058E-3</v>
      </c>
      <c r="J15" s="5">
        <v>0.16200000000000001</v>
      </c>
      <c r="K15" s="5">
        <v>0.1542</v>
      </c>
      <c r="L15" s="6">
        <f t="shared" si="2"/>
        <v>7.8000000000000014E-3</v>
      </c>
      <c r="M15" s="7">
        <f t="shared" si="3"/>
        <v>6.6333333333333426E-3</v>
      </c>
      <c r="N15" s="8">
        <f>'2_52组全量工况与偏差明细'!AG15</f>
        <v>4.7637950785395761E-2</v>
      </c>
    </row>
    <row r="16" spans="1:14" ht="19" customHeight="1" x14ac:dyDescent="0.25">
      <c r="A16" s="9" t="s">
        <v>32</v>
      </c>
      <c r="B16" s="10">
        <v>0.2</v>
      </c>
      <c r="C16" s="11">
        <v>60</v>
      </c>
      <c r="D16" s="12">
        <v>-9.1399999999999995E-2</v>
      </c>
      <c r="E16" s="12">
        <v>-8.5400000000000004E-2</v>
      </c>
      <c r="F16" s="13">
        <f t="shared" si="0"/>
        <v>5.9999999999999915E-3</v>
      </c>
      <c r="G16" s="12">
        <v>-0.1356</v>
      </c>
      <c r="H16" s="12">
        <v>-0.12870000000000001</v>
      </c>
      <c r="I16" s="13">
        <f t="shared" si="1"/>
        <v>6.8999999999999895E-3</v>
      </c>
      <c r="J16" s="12">
        <v>0.17280000000000001</v>
      </c>
      <c r="K16" s="12">
        <v>0.1651</v>
      </c>
      <c r="L16" s="13">
        <f t="shared" si="2"/>
        <v>7.7000000000000124E-3</v>
      </c>
      <c r="M16" s="14">
        <f t="shared" si="3"/>
        <v>6.8666666666666641E-3</v>
      </c>
      <c r="N16" s="15">
        <f>'2_52组全量工况与偏差明细'!AG16</f>
        <v>5.3696885053530742E-2</v>
      </c>
    </row>
    <row r="17" spans="1:14" ht="19" customHeight="1" x14ac:dyDescent="0.25">
      <c r="A17" s="2" t="s">
        <v>33</v>
      </c>
      <c r="B17" s="3">
        <v>0.2</v>
      </c>
      <c r="C17" s="4">
        <v>75</v>
      </c>
      <c r="D17" s="5">
        <v>1.7100000000000001E-2</v>
      </c>
      <c r="E17" s="5">
        <v>1.2500000000000001E-2</v>
      </c>
      <c r="F17" s="6">
        <f t="shared" si="0"/>
        <v>4.5999999999999999E-3</v>
      </c>
      <c r="G17" s="5">
        <v>-0.1729</v>
      </c>
      <c r="H17" s="5">
        <v>-0.16539999999999999</v>
      </c>
      <c r="I17" s="6">
        <f t="shared" si="1"/>
        <v>7.5000000000000067E-3</v>
      </c>
      <c r="J17" s="5">
        <v>0.18709999999999999</v>
      </c>
      <c r="K17" s="5">
        <v>0.17979999999999999</v>
      </c>
      <c r="L17" s="6">
        <f t="shared" si="2"/>
        <v>7.3000000000000009E-3</v>
      </c>
      <c r="M17" s="7">
        <f t="shared" si="3"/>
        <v>6.4666666666666692E-3</v>
      </c>
      <c r="N17" s="8">
        <f>'2_52组全量工况与偏差明细'!AG17</f>
        <v>2.7554325345807151E-2</v>
      </c>
    </row>
    <row r="18" spans="1:14" ht="19" customHeight="1" x14ac:dyDescent="0.25">
      <c r="A18" s="9" t="s">
        <v>34</v>
      </c>
      <c r="B18" s="10">
        <v>0.2</v>
      </c>
      <c r="C18" s="11">
        <v>90</v>
      </c>
      <c r="D18" s="12">
        <v>0.12889999999999999</v>
      </c>
      <c r="E18" s="12">
        <v>0.1198</v>
      </c>
      <c r="F18" s="13">
        <f t="shared" si="0"/>
        <v>9.0999999999999831E-3</v>
      </c>
      <c r="G18" s="12">
        <v>-0.1404</v>
      </c>
      <c r="H18" s="12">
        <v>-0.1321</v>
      </c>
      <c r="I18" s="13">
        <f t="shared" si="1"/>
        <v>8.3000000000000018E-3</v>
      </c>
      <c r="J18" s="12">
        <v>0.25369999999999998</v>
      </c>
      <c r="K18" s="12">
        <v>0.2452</v>
      </c>
      <c r="L18" s="13">
        <f t="shared" si="2"/>
        <v>8.4999999999999798E-3</v>
      </c>
      <c r="M18" s="14">
        <f t="shared" si="3"/>
        <v>8.633333333333321E-3</v>
      </c>
      <c r="N18" s="15">
        <f>'2_52组全量工况与偏差明细'!AG18</f>
        <v>5.4406103386571252E-2</v>
      </c>
    </row>
    <row r="19" spans="1:14" ht="19" customHeight="1" x14ac:dyDescent="0.25">
      <c r="A19" s="2" t="s">
        <v>35</v>
      </c>
      <c r="B19" s="3">
        <v>0.4</v>
      </c>
      <c r="C19" s="4">
        <v>0</v>
      </c>
      <c r="D19" s="5">
        <v>-0.86170000000000002</v>
      </c>
      <c r="E19" s="5">
        <v>-0.81240000000000001</v>
      </c>
      <c r="F19" s="6">
        <f t="shared" si="0"/>
        <v>4.930000000000001E-2</v>
      </c>
      <c r="G19" s="5">
        <v>-0.1603</v>
      </c>
      <c r="H19" s="5">
        <v>-0.1542</v>
      </c>
      <c r="I19" s="6">
        <f t="shared" si="1"/>
        <v>6.0999999999999943E-3</v>
      </c>
      <c r="J19" s="5">
        <v>-0.1389</v>
      </c>
      <c r="K19" s="5">
        <v>-0.13020000000000001</v>
      </c>
      <c r="L19" s="6">
        <f t="shared" si="2"/>
        <v>8.6999999999999855E-3</v>
      </c>
      <c r="M19" s="7">
        <f t="shared" si="3"/>
        <v>2.1366666666666662E-2</v>
      </c>
      <c r="N19" s="8">
        <f>'2_52组全量工况与偏差明细'!AG19</f>
        <v>5.2633708517545737E-2</v>
      </c>
    </row>
    <row r="20" spans="1:14" ht="19" customHeight="1" x14ac:dyDescent="0.25">
      <c r="A20" s="9" t="s">
        <v>36</v>
      </c>
      <c r="B20" s="10">
        <v>0.4</v>
      </c>
      <c r="C20" s="11">
        <v>15</v>
      </c>
      <c r="D20" s="12">
        <v>-0.86080000000000001</v>
      </c>
      <c r="E20" s="12">
        <v>-0.80420000000000003</v>
      </c>
      <c r="F20" s="13">
        <f t="shared" si="0"/>
        <v>5.6599999999999984E-2</v>
      </c>
      <c r="G20" s="12">
        <v>-0.1069</v>
      </c>
      <c r="H20" s="12">
        <v>-9.8699999999999996E-2</v>
      </c>
      <c r="I20" s="13">
        <f t="shared" si="1"/>
        <v>8.199999999999999E-3</v>
      </c>
      <c r="J20" s="12">
        <v>2.5999999999999999E-2</v>
      </c>
      <c r="K20" s="12">
        <v>2.41E-2</v>
      </c>
      <c r="L20" s="13">
        <f t="shared" si="2"/>
        <v>1.8999999999999989E-3</v>
      </c>
      <c r="M20" s="14">
        <f t="shared" si="3"/>
        <v>2.2233333333333327E-2</v>
      </c>
      <c r="N20" s="15">
        <f>'2_52组全量工况与偏差明细'!AG20</f>
        <v>4.759433682623463E-2</v>
      </c>
    </row>
    <row r="21" spans="1:14" ht="19" customHeight="1" x14ac:dyDescent="0.25">
      <c r="A21" s="2" t="s">
        <v>37</v>
      </c>
      <c r="B21" s="3">
        <v>0.4</v>
      </c>
      <c r="C21" s="4">
        <v>30</v>
      </c>
      <c r="D21" s="5">
        <v>-0.80479999999999996</v>
      </c>
      <c r="E21" s="5">
        <v>-0.75819999999999999</v>
      </c>
      <c r="F21" s="6">
        <f t="shared" si="0"/>
        <v>4.6599999999999975E-2</v>
      </c>
      <c r="G21" s="5">
        <v>-9.2399999999999996E-2</v>
      </c>
      <c r="H21" s="5">
        <v>-8.5400000000000004E-2</v>
      </c>
      <c r="I21" s="6">
        <f t="shared" si="1"/>
        <v>6.9999999999999923E-3</v>
      </c>
      <c r="J21" s="5">
        <v>0.22020000000000001</v>
      </c>
      <c r="K21" s="5">
        <v>0.2114</v>
      </c>
      <c r="L21" s="6">
        <f t="shared" si="2"/>
        <v>8.8000000000000023E-3</v>
      </c>
      <c r="M21" s="7">
        <f t="shared" si="3"/>
        <v>2.0799999999999989E-2</v>
      </c>
      <c r="N21" s="8">
        <f>'2_52组全量工况与偏差明细'!AG21</f>
        <v>5.7874609880693234E-2</v>
      </c>
    </row>
    <row r="22" spans="1:14" ht="19" customHeight="1" x14ac:dyDescent="0.25">
      <c r="A22" s="9" t="s">
        <v>38</v>
      </c>
      <c r="B22" s="10">
        <v>0.4</v>
      </c>
      <c r="C22" s="11">
        <v>45</v>
      </c>
      <c r="D22" s="12">
        <v>-0.5786</v>
      </c>
      <c r="E22" s="12">
        <v>-0.54210000000000003</v>
      </c>
      <c r="F22" s="13">
        <f t="shared" si="0"/>
        <v>3.6499999999999977E-2</v>
      </c>
      <c r="G22" s="12">
        <v>-2.8E-3</v>
      </c>
      <c r="H22" s="12">
        <v>-2.0999999999999999E-3</v>
      </c>
      <c r="I22" s="13">
        <f t="shared" si="1"/>
        <v>7.000000000000001E-4</v>
      </c>
      <c r="J22" s="12">
        <v>0.45150000000000001</v>
      </c>
      <c r="K22" s="12">
        <v>0.43980000000000002</v>
      </c>
      <c r="L22" s="13">
        <f t="shared" si="2"/>
        <v>1.1699999999999988E-2</v>
      </c>
      <c r="M22" s="14">
        <f t="shared" si="3"/>
        <v>1.6299999999999988E-2</v>
      </c>
      <c r="N22" s="15">
        <f>'2_52组全量工况与偏差明细'!AG22</f>
        <v>2.9672432851330491E-2</v>
      </c>
    </row>
    <row r="23" spans="1:14" ht="19" customHeight="1" x14ac:dyDescent="0.25">
      <c r="A23" s="2" t="s">
        <v>39</v>
      </c>
      <c r="B23" s="3">
        <v>0.4</v>
      </c>
      <c r="C23" s="4">
        <v>60</v>
      </c>
      <c r="D23" s="5">
        <v>-0.27679999999999999</v>
      </c>
      <c r="E23" s="5">
        <v>-0.25890000000000002</v>
      </c>
      <c r="F23" s="6">
        <f t="shared" si="0"/>
        <v>1.7899999999999971E-2</v>
      </c>
      <c r="G23" s="5">
        <v>-2.6700000000000002E-2</v>
      </c>
      <c r="H23" s="5">
        <v>-2.1399999999999999E-2</v>
      </c>
      <c r="I23" s="6">
        <f t="shared" si="1"/>
        <v>5.3000000000000026E-3</v>
      </c>
      <c r="J23" s="5">
        <v>0.56930000000000003</v>
      </c>
      <c r="K23" s="5">
        <v>0.55410000000000004</v>
      </c>
      <c r="L23" s="6">
        <f t="shared" si="2"/>
        <v>1.5199999999999991E-2</v>
      </c>
      <c r="M23" s="7">
        <f t="shared" si="3"/>
        <v>1.2799999999999987E-2</v>
      </c>
      <c r="N23" s="8">
        <f>'2_52组全量工况与偏差明细'!AG23</f>
        <v>3.0507112150676776E-2</v>
      </c>
    </row>
    <row r="24" spans="1:14" ht="19" customHeight="1" x14ac:dyDescent="0.25">
      <c r="A24" s="9" t="s">
        <v>40</v>
      </c>
      <c r="B24" s="10">
        <v>0.4</v>
      </c>
      <c r="C24" s="11">
        <v>75</v>
      </c>
      <c r="D24" s="12">
        <v>7.0499999999999993E-2</v>
      </c>
      <c r="E24" s="12">
        <v>6.5199999999999994E-2</v>
      </c>
      <c r="F24" s="13">
        <f t="shared" si="0"/>
        <v>5.2999999999999992E-3</v>
      </c>
      <c r="G24" s="12">
        <v>-7.2400000000000006E-2</v>
      </c>
      <c r="H24" s="12">
        <v>-6.8699999999999997E-2</v>
      </c>
      <c r="I24" s="13">
        <f t="shared" si="1"/>
        <v>3.7000000000000088E-3</v>
      </c>
      <c r="J24" s="12">
        <v>0.66210000000000002</v>
      </c>
      <c r="K24" s="12">
        <v>0.64870000000000005</v>
      </c>
      <c r="L24" s="13">
        <f t="shared" si="2"/>
        <v>1.3399999999999967E-2</v>
      </c>
      <c r="M24" s="14">
        <f t="shared" si="3"/>
        <v>7.4666666666666588E-3</v>
      </c>
      <c r="N24" s="15">
        <f>'2_52组全量工况与偏差明细'!AG24</f>
        <v>4.8840303995854643E-2</v>
      </c>
    </row>
    <row r="25" spans="1:14" ht="19" customHeight="1" x14ac:dyDescent="0.25">
      <c r="A25" s="2" t="s">
        <v>41</v>
      </c>
      <c r="B25" s="3">
        <v>0.4</v>
      </c>
      <c r="C25" s="4">
        <v>90</v>
      </c>
      <c r="D25" s="5">
        <v>0.26340000000000002</v>
      </c>
      <c r="E25" s="5">
        <v>0.25119999999999998</v>
      </c>
      <c r="F25" s="6">
        <f t="shared" si="0"/>
        <v>1.2200000000000044E-2</v>
      </c>
      <c r="G25" s="5">
        <v>-9.4E-2</v>
      </c>
      <c r="H25" s="5">
        <v>-8.8700000000000001E-2</v>
      </c>
      <c r="I25" s="6">
        <f t="shared" si="1"/>
        <v>5.2999999999999992E-3</v>
      </c>
      <c r="J25" s="5">
        <v>0.75790000000000002</v>
      </c>
      <c r="K25" s="5">
        <v>0.74119999999999997</v>
      </c>
      <c r="L25" s="6">
        <f t="shared" si="2"/>
        <v>1.6700000000000048E-2</v>
      </c>
      <c r="M25" s="7">
        <f t="shared" si="3"/>
        <v>1.140000000000003E-2</v>
      </c>
      <c r="N25" s="8">
        <f>'2_52组全量工况与偏差明细'!AG25</f>
        <v>4.1578311976940736E-2</v>
      </c>
    </row>
    <row r="26" spans="1:14" ht="19" customHeight="1" x14ac:dyDescent="0.25">
      <c r="A26" s="9" t="s">
        <v>42</v>
      </c>
      <c r="B26" s="10">
        <v>0.6</v>
      </c>
      <c r="C26" s="11">
        <v>0</v>
      </c>
      <c r="D26" s="12">
        <v>-1.425</v>
      </c>
      <c r="E26" s="12">
        <v>-1.3653999999999999</v>
      </c>
      <c r="F26" s="13">
        <f t="shared" si="0"/>
        <v>5.9600000000000097E-2</v>
      </c>
      <c r="G26" s="12">
        <v>-0.32740000000000002</v>
      </c>
      <c r="H26" s="12">
        <v>-0.31209999999999999</v>
      </c>
      <c r="I26" s="13">
        <f t="shared" si="1"/>
        <v>1.5300000000000036E-2</v>
      </c>
      <c r="J26" s="12">
        <v>-0.22439999999999999</v>
      </c>
      <c r="K26" s="12">
        <v>-0.2145</v>
      </c>
      <c r="L26" s="13">
        <f t="shared" si="2"/>
        <v>9.8999999999999921E-3</v>
      </c>
      <c r="M26" s="14">
        <f t="shared" si="3"/>
        <v>2.8266666666666707E-2</v>
      </c>
      <c r="N26" s="15">
        <f>'2_52组全量工况与偏差明细'!AG26</f>
        <v>4.4224678324748155E-2</v>
      </c>
    </row>
    <row r="27" spans="1:14" ht="19" customHeight="1" x14ac:dyDescent="0.25">
      <c r="A27" s="2" t="s">
        <v>43</v>
      </c>
      <c r="B27" s="3">
        <v>0.6</v>
      </c>
      <c r="C27" s="4">
        <v>15</v>
      </c>
      <c r="D27" s="5">
        <v>-1.4419999999999999</v>
      </c>
      <c r="E27" s="5">
        <v>-1.3852</v>
      </c>
      <c r="F27" s="6">
        <f t="shared" si="0"/>
        <v>5.6799999999999962E-2</v>
      </c>
      <c r="G27" s="5">
        <v>-0.18440000000000001</v>
      </c>
      <c r="H27" s="5">
        <v>-0.17419999999999999</v>
      </c>
      <c r="I27" s="6">
        <f t="shared" si="1"/>
        <v>1.0200000000000015E-2</v>
      </c>
      <c r="J27" s="5">
        <v>3.5700000000000003E-2</v>
      </c>
      <c r="K27" s="5">
        <v>3.4099999999999998E-2</v>
      </c>
      <c r="L27" s="6">
        <f t="shared" si="2"/>
        <v>1.6000000000000042E-3</v>
      </c>
      <c r="M27" s="7">
        <f t="shared" si="3"/>
        <v>2.286666666666666E-2</v>
      </c>
      <c r="N27" s="8">
        <f>'2_52组全量工况与偏差明细'!AG27</f>
        <v>3.1658762140218032E-2</v>
      </c>
    </row>
    <row r="28" spans="1:14" ht="19" customHeight="1" x14ac:dyDescent="0.25">
      <c r="A28" s="9" t="s">
        <v>44</v>
      </c>
      <c r="B28" s="10">
        <v>0.6</v>
      </c>
      <c r="C28" s="11">
        <v>30</v>
      </c>
      <c r="D28" s="12">
        <v>-1.2923</v>
      </c>
      <c r="E28" s="12">
        <v>-1.2412000000000001</v>
      </c>
      <c r="F28" s="13">
        <f t="shared" si="0"/>
        <v>5.1099999999999923E-2</v>
      </c>
      <c r="G28" s="12">
        <v>-8.4699999999999998E-2</v>
      </c>
      <c r="H28" s="12">
        <v>-7.8899999999999998E-2</v>
      </c>
      <c r="I28" s="13">
        <f t="shared" si="1"/>
        <v>5.7999999999999996E-3</v>
      </c>
      <c r="J28" s="12">
        <v>0.3851</v>
      </c>
      <c r="K28" s="12">
        <v>0.37209999999999999</v>
      </c>
      <c r="L28" s="13">
        <f t="shared" si="2"/>
        <v>1.3000000000000012E-2</v>
      </c>
      <c r="M28" s="14">
        <f t="shared" si="3"/>
        <v>2.3299999999999977E-2</v>
      </c>
      <c r="N28" s="15">
        <f>'2_52组全量工况与偏差明细'!AG28</f>
        <v>4.7258781732123389E-2</v>
      </c>
    </row>
    <row r="29" spans="1:14" ht="19" customHeight="1" x14ac:dyDescent="0.25">
      <c r="A29" s="2" t="s">
        <v>45</v>
      </c>
      <c r="B29" s="3">
        <v>0.6</v>
      </c>
      <c r="C29" s="4">
        <v>45</v>
      </c>
      <c r="D29" s="5">
        <v>-1.6036999999999999</v>
      </c>
      <c r="E29" s="5">
        <v>-1.5214000000000001</v>
      </c>
      <c r="F29" s="6">
        <f t="shared" si="0"/>
        <v>8.2299999999999818E-2</v>
      </c>
      <c r="G29" s="5">
        <v>-2.9426999999999999</v>
      </c>
      <c r="H29" s="5">
        <v>-2.8540999999999999</v>
      </c>
      <c r="I29" s="6">
        <f t="shared" si="1"/>
        <v>8.8600000000000012E-2</v>
      </c>
      <c r="J29" s="5">
        <v>-1.6558999999999999</v>
      </c>
      <c r="K29" s="5">
        <v>-1.5982000000000001</v>
      </c>
      <c r="L29" s="6">
        <f t="shared" si="2"/>
        <v>5.7699999999999863E-2</v>
      </c>
      <c r="M29" s="7">
        <f t="shared" si="3"/>
        <v>7.6199999999999893E-2</v>
      </c>
      <c r="N29" s="8">
        <f>'2_52组全量工况与偏差明细'!AG29</f>
        <v>3.8757442801747088E-2</v>
      </c>
    </row>
    <row r="30" spans="1:14" ht="19" customHeight="1" x14ac:dyDescent="0.25">
      <c r="A30" s="9" t="s">
        <v>46</v>
      </c>
      <c r="B30" s="10">
        <v>0.6</v>
      </c>
      <c r="C30" s="11">
        <v>60</v>
      </c>
      <c r="D30" s="12">
        <v>2.0548000000000002</v>
      </c>
      <c r="E30" s="12">
        <v>1.9821</v>
      </c>
      <c r="F30" s="13">
        <f t="shared" si="0"/>
        <v>7.2700000000000209E-2</v>
      </c>
      <c r="G30" s="12">
        <v>-10.639699999999999</v>
      </c>
      <c r="H30" s="12">
        <v>-9.8542000000000005</v>
      </c>
      <c r="I30" s="13">
        <f t="shared" si="1"/>
        <v>0.78549999999999898</v>
      </c>
      <c r="J30" s="12">
        <v>-0.63200000000000001</v>
      </c>
      <c r="K30" s="12">
        <v>-0.61019999999999996</v>
      </c>
      <c r="L30" s="13">
        <f t="shared" si="2"/>
        <v>2.1800000000000042E-2</v>
      </c>
      <c r="M30" s="14">
        <f t="shared" si="3"/>
        <v>0.29333333333333306</v>
      </c>
      <c r="N30" s="15">
        <f>'2_52组全量工况与偏差明细'!AG30</f>
        <v>4.7900504256807024E-2</v>
      </c>
    </row>
    <row r="31" spans="1:14" ht="19" customHeight="1" x14ac:dyDescent="0.25">
      <c r="A31" s="2" t="s">
        <v>47</v>
      </c>
      <c r="B31" s="3">
        <v>0.6</v>
      </c>
      <c r="C31" s="4">
        <v>75</v>
      </c>
      <c r="D31" s="5">
        <v>-9.7000000000000003E-3</v>
      </c>
      <c r="E31" s="5">
        <v>-8.3999999999999995E-3</v>
      </c>
      <c r="F31" s="6">
        <f t="shared" si="0"/>
        <v>1.3000000000000008E-3</v>
      </c>
      <c r="G31" s="5">
        <v>8.1900000000000001E-2</v>
      </c>
      <c r="H31" s="5">
        <v>7.6499999999999999E-2</v>
      </c>
      <c r="I31" s="6">
        <f t="shared" si="1"/>
        <v>5.400000000000002E-3</v>
      </c>
      <c r="J31" s="5">
        <v>1.3653</v>
      </c>
      <c r="K31" s="5">
        <v>1.3213999999999999</v>
      </c>
      <c r="L31" s="6">
        <f t="shared" si="2"/>
        <v>4.390000000000005E-2</v>
      </c>
      <c r="M31" s="7">
        <f t="shared" si="3"/>
        <v>1.6866666666666686E-2</v>
      </c>
      <c r="N31" s="8">
        <f>'2_52组全量工况与偏差明细'!AG31</f>
        <v>3.2721372457404883E-2</v>
      </c>
    </row>
    <row r="32" spans="1:14" ht="19" customHeight="1" x14ac:dyDescent="0.25">
      <c r="A32" s="9" t="s">
        <v>48</v>
      </c>
      <c r="B32" s="10">
        <v>0.6</v>
      </c>
      <c r="C32" s="11">
        <v>90</v>
      </c>
      <c r="D32" s="12">
        <v>0.48480000000000001</v>
      </c>
      <c r="E32" s="12">
        <v>0.46820000000000001</v>
      </c>
      <c r="F32" s="13">
        <f t="shared" si="0"/>
        <v>1.6600000000000004E-2</v>
      </c>
      <c r="G32" s="12">
        <v>-1.11E-2</v>
      </c>
      <c r="H32" s="12">
        <v>-9.4999999999999998E-3</v>
      </c>
      <c r="I32" s="13">
        <f t="shared" si="1"/>
        <v>1.6000000000000007E-3</v>
      </c>
      <c r="J32" s="12">
        <v>1.4191</v>
      </c>
      <c r="K32" s="12">
        <v>1.3821000000000001</v>
      </c>
      <c r="L32" s="13">
        <f t="shared" si="2"/>
        <v>3.6999999999999922E-2</v>
      </c>
      <c r="M32" s="14">
        <f t="shared" si="3"/>
        <v>1.8399999999999975E-2</v>
      </c>
      <c r="N32" s="15">
        <f>'2_52组全量工况与偏差明细'!AG32</f>
        <v>2.012011783029985E-2</v>
      </c>
    </row>
    <row r="33" spans="1:14" ht="19" customHeight="1" x14ac:dyDescent="0.25">
      <c r="A33" s="2" t="s">
        <v>49</v>
      </c>
      <c r="B33" s="3">
        <v>0.8</v>
      </c>
      <c r="C33" s="4">
        <v>0</v>
      </c>
      <c r="D33" s="5">
        <v>-2.1046</v>
      </c>
      <c r="E33" s="5">
        <v>-2.0240999999999998</v>
      </c>
      <c r="F33" s="6">
        <f t="shared" si="0"/>
        <v>8.0500000000000238E-2</v>
      </c>
      <c r="G33" s="5">
        <v>-0.64459999999999995</v>
      </c>
      <c r="H33" s="5">
        <v>-0.61240000000000006</v>
      </c>
      <c r="I33" s="6">
        <f t="shared" si="1"/>
        <v>3.2199999999999895E-2</v>
      </c>
      <c r="J33" s="5">
        <v>-0.65300000000000002</v>
      </c>
      <c r="K33" s="5">
        <v>-0.62890000000000001</v>
      </c>
      <c r="L33" s="6">
        <f t="shared" si="2"/>
        <v>2.410000000000001E-2</v>
      </c>
      <c r="M33" s="7">
        <f t="shared" si="3"/>
        <v>4.560000000000005E-2</v>
      </c>
      <c r="N33" s="8">
        <f>'2_52组全量工况与偏差明细'!AG33</f>
        <v>4.1703197703309325E-2</v>
      </c>
    </row>
    <row r="34" spans="1:14" ht="19" customHeight="1" x14ac:dyDescent="0.25">
      <c r="A34" s="9" t="s">
        <v>50</v>
      </c>
      <c r="B34" s="10">
        <v>0.8</v>
      </c>
      <c r="C34" s="11">
        <v>15</v>
      </c>
      <c r="D34" s="12">
        <v>-2.1640000000000001</v>
      </c>
      <c r="E34" s="12">
        <v>-2.0811999999999999</v>
      </c>
      <c r="F34" s="13">
        <f t="shared" si="0"/>
        <v>8.2800000000000207E-2</v>
      </c>
      <c r="G34" s="12">
        <v>-0.32250000000000001</v>
      </c>
      <c r="H34" s="12">
        <v>-0.30869999999999997</v>
      </c>
      <c r="I34" s="13">
        <f t="shared" si="1"/>
        <v>1.3800000000000034E-2</v>
      </c>
      <c r="J34" s="12">
        <v>-6.59E-2</v>
      </c>
      <c r="K34" s="12">
        <v>-6.2100000000000002E-2</v>
      </c>
      <c r="L34" s="13">
        <f t="shared" si="2"/>
        <v>3.7999999999999978E-3</v>
      </c>
      <c r="M34" s="14">
        <f t="shared" si="3"/>
        <v>3.3466666666666749E-2</v>
      </c>
      <c r="N34" s="15">
        <f>'2_52组全量工况与偏差明细'!AG34</f>
        <v>4.6238766839155003E-2</v>
      </c>
    </row>
    <row r="35" spans="1:14" ht="19" customHeight="1" x14ac:dyDescent="0.25">
      <c r="A35" s="2" t="s">
        <v>51</v>
      </c>
      <c r="B35" s="3">
        <v>0.8</v>
      </c>
      <c r="C35" s="4">
        <v>30</v>
      </c>
      <c r="D35" s="5">
        <v>-8.9863999999999997</v>
      </c>
      <c r="E35" s="5">
        <v>-8.6213999999999995</v>
      </c>
      <c r="F35" s="6">
        <f t="shared" si="0"/>
        <v>0.36500000000000021</v>
      </c>
      <c r="G35" s="5">
        <v>-4.9015000000000004</v>
      </c>
      <c r="H35" s="5">
        <v>-4.6852</v>
      </c>
      <c r="I35" s="6">
        <f t="shared" si="1"/>
        <v>0.21630000000000038</v>
      </c>
      <c r="J35" s="5">
        <v>-3.4174000000000002</v>
      </c>
      <c r="K35" s="5">
        <v>-3.2841</v>
      </c>
      <c r="L35" s="6">
        <f t="shared" si="2"/>
        <v>0.1333000000000002</v>
      </c>
      <c r="M35" s="7">
        <f t="shared" si="3"/>
        <v>0.23820000000000027</v>
      </c>
      <c r="N35" s="8">
        <f>'2_52组全量工况与偏差明细'!AG35</f>
        <v>4.1250847494163211E-2</v>
      </c>
    </row>
    <row r="36" spans="1:14" ht="19" customHeight="1" x14ac:dyDescent="0.25">
      <c r="A36" s="9" t="s">
        <v>52</v>
      </c>
      <c r="B36" s="10">
        <v>0.8</v>
      </c>
      <c r="C36" s="11">
        <v>45</v>
      </c>
      <c r="D36" s="12">
        <v>-1.7621</v>
      </c>
      <c r="E36" s="12">
        <v>-1.7012</v>
      </c>
      <c r="F36" s="13">
        <f t="shared" si="0"/>
        <v>6.0899999999999954E-2</v>
      </c>
      <c r="G36" s="12">
        <v>1.3340000000000001</v>
      </c>
      <c r="H36" s="12">
        <v>1.2854000000000001</v>
      </c>
      <c r="I36" s="13">
        <f t="shared" si="1"/>
        <v>4.8599999999999977E-2</v>
      </c>
      <c r="J36" s="12">
        <v>0.28149999999999997</v>
      </c>
      <c r="K36" s="12">
        <v>0.27410000000000001</v>
      </c>
      <c r="L36" s="13">
        <f t="shared" si="2"/>
        <v>7.3999999999999622E-3</v>
      </c>
      <c r="M36" s="14">
        <f t="shared" si="3"/>
        <v>3.8966666666666629E-2</v>
      </c>
      <c r="N36" s="15">
        <f>'2_52组全量工况与偏差明细'!AG36</f>
        <v>3.2426854487946376E-2</v>
      </c>
    </row>
    <row r="37" spans="1:14" ht="19" customHeight="1" x14ac:dyDescent="0.25">
      <c r="A37" s="2" t="s">
        <v>53</v>
      </c>
      <c r="B37" s="3">
        <v>0.8</v>
      </c>
      <c r="C37" s="4">
        <v>60</v>
      </c>
      <c r="D37" s="5">
        <v>-0.67530000000000001</v>
      </c>
      <c r="E37" s="5">
        <v>-0.64870000000000005</v>
      </c>
      <c r="F37" s="6">
        <f t="shared" ref="F37:F68" si="4">ABS(E37-D37)</f>
        <v>2.6599999999999957E-2</v>
      </c>
      <c r="G37" s="5">
        <v>0.5625</v>
      </c>
      <c r="H37" s="5">
        <v>0.54120000000000001</v>
      </c>
      <c r="I37" s="6">
        <f t="shared" ref="I37:I68" si="5">ABS(H37-G37)</f>
        <v>2.1299999999999986E-2</v>
      </c>
      <c r="J37" s="5">
        <v>1.9819</v>
      </c>
      <c r="K37" s="5">
        <v>1.9214</v>
      </c>
      <c r="L37" s="6">
        <f t="shared" ref="L37:L68" si="6">ABS(K37-J37)</f>
        <v>6.0499999999999998E-2</v>
      </c>
      <c r="M37" s="7">
        <f t="shared" ref="M37:M68" si="7">AVERAGE(F37,I37,L37)</f>
        <v>3.6133333333333316E-2</v>
      </c>
      <c r="N37" s="8">
        <f>'2_52组全量工况与偏差明细'!AG37</f>
        <v>3.5927610042910625E-2</v>
      </c>
    </row>
    <row r="38" spans="1:14" ht="19" customHeight="1" x14ac:dyDescent="0.25">
      <c r="A38" s="9" t="s">
        <v>54</v>
      </c>
      <c r="B38" s="10">
        <v>0.8</v>
      </c>
      <c r="C38" s="11">
        <v>75</v>
      </c>
      <c r="D38" s="12">
        <v>-1.1000000000000001E-3</v>
      </c>
      <c r="E38" s="12">
        <v>-8.9999999999999998E-4</v>
      </c>
      <c r="F38" s="13">
        <f t="shared" si="4"/>
        <v>2.0000000000000009E-4</v>
      </c>
      <c r="G38" s="12">
        <v>0.5333</v>
      </c>
      <c r="H38" s="12">
        <v>0.51239999999999997</v>
      </c>
      <c r="I38" s="13">
        <f t="shared" si="5"/>
        <v>2.090000000000003E-2</v>
      </c>
      <c r="J38" s="12">
        <v>2.2469000000000001</v>
      </c>
      <c r="K38" s="12">
        <v>2.1852</v>
      </c>
      <c r="L38" s="13">
        <f t="shared" si="6"/>
        <v>6.1700000000000088E-2</v>
      </c>
      <c r="M38" s="14">
        <f t="shared" si="7"/>
        <v>2.7600000000000041E-2</v>
      </c>
      <c r="N38" s="15">
        <f>'2_52组全量工况与偏差明细'!AG38</f>
        <v>2.2220563155510131E-2</v>
      </c>
    </row>
    <row r="39" spans="1:14" ht="19" customHeight="1" x14ac:dyDescent="0.25">
      <c r="A39" s="2" t="s">
        <v>55</v>
      </c>
      <c r="B39" s="3">
        <v>0.8</v>
      </c>
      <c r="C39" s="4">
        <v>90</v>
      </c>
      <c r="D39" s="5">
        <v>0.47539999999999999</v>
      </c>
      <c r="E39" s="5">
        <v>0.45889999999999997</v>
      </c>
      <c r="F39" s="6">
        <f t="shared" si="4"/>
        <v>1.6500000000000015E-2</v>
      </c>
      <c r="G39" s="5">
        <v>0.56950000000000001</v>
      </c>
      <c r="H39" s="5">
        <v>0.54869999999999997</v>
      </c>
      <c r="I39" s="6">
        <f t="shared" si="5"/>
        <v>2.0800000000000041E-2</v>
      </c>
      <c r="J39" s="5">
        <v>2.4645999999999999</v>
      </c>
      <c r="K39" s="5">
        <v>2.4011999999999998</v>
      </c>
      <c r="L39" s="6">
        <f t="shared" si="6"/>
        <v>6.3400000000000123E-2</v>
      </c>
      <c r="M39" s="7">
        <f t="shared" si="7"/>
        <v>3.3566666666666724E-2</v>
      </c>
      <c r="N39" s="8">
        <f>'2_52组全量工况与偏差明细'!AG39</f>
        <v>3.2318378706801702E-2</v>
      </c>
    </row>
    <row r="40" spans="1:14" ht="19" customHeight="1" x14ac:dyDescent="0.25">
      <c r="A40" s="9" t="s">
        <v>56</v>
      </c>
      <c r="B40" s="10">
        <v>1</v>
      </c>
      <c r="C40" s="11">
        <v>0</v>
      </c>
      <c r="D40" s="12">
        <v>-2.4418000000000002</v>
      </c>
      <c r="E40" s="12">
        <v>-2.3654000000000002</v>
      </c>
      <c r="F40" s="13">
        <f t="shared" si="4"/>
        <v>7.6400000000000023E-2</v>
      </c>
      <c r="G40" s="12">
        <v>-0.81910000000000005</v>
      </c>
      <c r="H40" s="12">
        <v>-0.78520000000000001</v>
      </c>
      <c r="I40" s="13">
        <f t="shared" si="5"/>
        <v>3.3900000000000041E-2</v>
      </c>
      <c r="J40" s="12">
        <v>0.77170000000000005</v>
      </c>
      <c r="K40" s="12">
        <v>0.74119999999999997</v>
      </c>
      <c r="L40" s="13">
        <f t="shared" si="6"/>
        <v>3.0500000000000083E-2</v>
      </c>
      <c r="M40" s="14">
        <f t="shared" si="7"/>
        <v>4.6933333333333382E-2</v>
      </c>
      <c r="N40" s="15">
        <f>'2_52组全量工况与偏差明细'!AG40</f>
        <v>3.7399470868665262E-2</v>
      </c>
    </row>
    <row r="41" spans="1:14" ht="19" customHeight="1" x14ac:dyDescent="0.25">
      <c r="A41" s="2" t="s">
        <v>57</v>
      </c>
      <c r="B41" s="3">
        <v>1</v>
      </c>
      <c r="C41" s="4">
        <v>15</v>
      </c>
      <c r="D41" s="5">
        <v>-2.9247999999999998</v>
      </c>
      <c r="E41" s="5">
        <v>-2.8123999999999998</v>
      </c>
      <c r="F41" s="6">
        <f t="shared" si="4"/>
        <v>0.11240000000000006</v>
      </c>
      <c r="G41" s="5">
        <v>-0.44440000000000002</v>
      </c>
      <c r="H41" s="5">
        <v>-0.42870000000000003</v>
      </c>
      <c r="I41" s="6">
        <f t="shared" si="5"/>
        <v>1.5699999999999992E-2</v>
      </c>
      <c r="J41" s="5">
        <v>8.3900000000000002E-2</v>
      </c>
      <c r="K41" s="5">
        <v>8.0500000000000002E-2</v>
      </c>
      <c r="L41" s="6">
        <f t="shared" si="6"/>
        <v>3.4000000000000002E-3</v>
      </c>
      <c r="M41" s="7">
        <f t="shared" si="7"/>
        <v>4.3833333333333356E-2</v>
      </c>
      <c r="N41" s="8">
        <f>'2_52组全量工况与偏差明细'!AG41</f>
        <v>3.809431494042282E-2</v>
      </c>
    </row>
    <row r="42" spans="1:14" ht="19" customHeight="1" x14ac:dyDescent="0.25">
      <c r="A42" s="9" t="s">
        <v>58</v>
      </c>
      <c r="B42" s="10">
        <v>1</v>
      </c>
      <c r="C42" s="11">
        <v>30</v>
      </c>
      <c r="D42" s="12">
        <v>-2.7162000000000002</v>
      </c>
      <c r="E42" s="12">
        <v>-2.6189</v>
      </c>
      <c r="F42" s="13">
        <f t="shared" si="4"/>
        <v>9.7300000000000164E-2</v>
      </c>
      <c r="G42" s="12">
        <v>0.72260000000000002</v>
      </c>
      <c r="H42" s="12">
        <v>0.69840000000000002</v>
      </c>
      <c r="I42" s="13">
        <f t="shared" si="5"/>
        <v>2.4199999999999999E-2</v>
      </c>
      <c r="J42" s="12">
        <v>0.69710000000000005</v>
      </c>
      <c r="K42" s="12">
        <v>0.67210000000000003</v>
      </c>
      <c r="L42" s="13">
        <f t="shared" si="6"/>
        <v>2.5000000000000022E-2</v>
      </c>
      <c r="M42" s="14">
        <f t="shared" si="7"/>
        <v>4.8833333333333395E-2</v>
      </c>
      <c r="N42" s="15">
        <f>'2_52组全量工况与偏差明细'!AG42</f>
        <v>3.5058379734216764E-2</v>
      </c>
    </row>
    <row r="43" spans="1:14" ht="19" customHeight="1" x14ac:dyDescent="0.25">
      <c r="A43" s="2" t="s">
        <v>59</v>
      </c>
      <c r="B43" s="3">
        <v>1</v>
      </c>
      <c r="C43" s="4">
        <v>45</v>
      </c>
      <c r="D43" s="5">
        <v>-2.2930999999999999</v>
      </c>
      <c r="E43" s="5">
        <v>-2.2145000000000001</v>
      </c>
      <c r="F43" s="6">
        <f t="shared" si="4"/>
        <v>7.8599999999999781E-2</v>
      </c>
      <c r="G43" s="5">
        <v>10.7552</v>
      </c>
      <c r="H43" s="5">
        <v>10.214</v>
      </c>
      <c r="I43" s="6">
        <f t="shared" si="5"/>
        <v>0.5411999999999999</v>
      </c>
      <c r="J43" s="5">
        <v>0.34820000000000001</v>
      </c>
      <c r="K43" s="5">
        <v>0.33410000000000001</v>
      </c>
      <c r="L43" s="6">
        <f t="shared" si="6"/>
        <v>1.4100000000000001E-2</v>
      </c>
      <c r="M43" s="7">
        <f t="shared" si="7"/>
        <v>0.2112999999999999</v>
      </c>
      <c r="N43" s="8">
        <f>'2_52组全量工况与偏差明细'!AG43</f>
        <v>4.1696852513594194E-2</v>
      </c>
    </row>
    <row r="44" spans="1:14" ht="19" customHeight="1" x14ac:dyDescent="0.25">
      <c r="A44" s="9" t="s">
        <v>60</v>
      </c>
      <c r="B44" s="10">
        <v>1</v>
      </c>
      <c r="C44" s="11">
        <v>60</v>
      </c>
      <c r="D44" s="12">
        <v>-1.8213999999999999</v>
      </c>
      <c r="E44" s="12">
        <v>-1.7541</v>
      </c>
      <c r="F44" s="13">
        <f t="shared" si="4"/>
        <v>6.7299999999999915E-2</v>
      </c>
      <c r="G44" s="12">
        <v>2.4529999999999998</v>
      </c>
      <c r="H44" s="12">
        <v>2.3812000000000002</v>
      </c>
      <c r="I44" s="13">
        <f t="shared" si="5"/>
        <v>7.1799999999999642E-2</v>
      </c>
      <c r="J44" s="12">
        <v>0.65100000000000002</v>
      </c>
      <c r="K44" s="12">
        <v>0.6321</v>
      </c>
      <c r="L44" s="13">
        <f t="shared" si="6"/>
        <v>1.8900000000000028E-2</v>
      </c>
      <c r="M44" s="14">
        <f t="shared" si="7"/>
        <v>5.2666666666666528E-2</v>
      </c>
      <c r="N44" s="15">
        <f>'2_52组全量工况与偏差明细'!AG44</f>
        <v>3.175071285404462E-2</v>
      </c>
    </row>
    <row r="45" spans="1:14" ht="19" customHeight="1" x14ac:dyDescent="0.25">
      <c r="A45" s="2" t="s">
        <v>61</v>
      </c>
      <c r="B45" s="3">
        <v>1</v>
      </c>
      <c r="C45" s="4">
        <v>75</v>
      </c>
      <c r="D45" s="5">
        <v>-0.45200000000000001</v>
      </c>
      <c r="E45" s="5">
        <v>-0.43580000000000002</v>
      </c>
      <c r="F45" s="6">
        <f t="shared" si="4"/>
        <v>1.6199999999999992E-2</v>
      </c>
      <c r="G45" s="5">
        <v>2.8940000000000001</v>
      </c>
      <c r="H45" s="5">
        <v>2.7953999999999999</v>
      </c>
      <c r="I45" s="6">
        <f t="shared" si="5"/>
        <v>9.8600000000000243E-2</v>
      </c>
      <c r="J45" s="5">
        <v>0.82299999999999995</v>
      </c>
      <c r="K45" s="5">
        <v>0.79810000000000003</v>
      </c>
      <c r="L45" s="6">
        <f t="shared" si="6"/>
        <v>2.4899999999999922E-2</v>
      </c>
      <c r="M45" s="7">
        <f t="shared" si="7"/>
        <v>4.6566666666666721E-2</v>
      </c>
      <c r="N45" s="8">
        <f>'2_52组全量工况与偏差明细'!AG45</f>
        <v>3.3388787556325357E-2</v>
      </c>
    </row>
    <row r="46" spans="1:14" ht="19" customHeight="1" x14ac:dyDescent="0.25">
      <c r="A46" s="9" t="s">
        <v>62</v>
      </c>
      <c r="B46" s="10">
        <v>1</v>
      </c>
      <c r="C46" s="11">
        <v>90</v>
      </c>
      <c r="D46" s="12">
        <v>1.2E-2</v>
      </c>
      <c r="E46" s="12">
        <v>1.0500000000000001E-2</v>
      </c>
      <c r="F46" s="13">
        <f t="shared" si="4"/>
        <v>1.4999999999999996E-3</v>
      </c>
      <c r="G46" s="12">
        <v>3.4209999999999998</v>
      </c>
      <c r="H46" s="12">
        <v>3.3119999999999998</v>
      </c>
      <c r="I46" s="13">
        <f t="shared" si="5"/>
        <v>0.10899999999999999</v>
      </c>
      <c r="J46" s="12">
        <v>0.98499999999999999</v>
      </c>
      <c r="K46" s="12">
        <v>0.95420000000000005</v>
      </c>
      <c r="L46" s="13">
        <f t="shared" si="6"/>
        <v>3.0799999999999939E-2</v>
      </c>
      <c r="M46" s="14">
        <f t="shared" si="7"/>
        <v>4.7099999999999975E-2</v>
      </c>
      <c r="N46" s="15">
        <f>'2_52组全量工况与偏差明细'!AG46</f>
        <v>2.1072898103444527E-2</v>
      </c>
    </row>
    <row r="47" spans="1:14" ht="19" customHeight="1" x14ac:dyDescent="0.25">
      <c r="A47" s="2" t="s">
        <v>63</v>
      </c>
      <c r="B47" s="3">
        <v>0.25</v>
      </c>
      <c r="C47" s="4">
        <v>0</v>
      </c>
      <c r="D47" s="5">
        <v>-0.191</v>
      </c>
      <c r="E47" s="5">
        <v>-0.1852</v>
      </c>
      <c r="F47" s="6">
        <f t="shared" si="4"/>
        <v>5.7999999999999996E-3</v>
      </c>
      <c r="G47" s="5">
        <v>2.0799999999999999E-2</v>
      </c>
      <c r="H47" s="5">
        <v>1.95E-2</v>
      </c>
      <c r="I47" s="6">
        <f t="shared" si="5"/>
        <v>1.2999999999999991E-3</v>
      </c>
      <c r="J47" s="5">
        <v>-5.1400000000000001E-2</v>
      </c>
      <c r="K47" s="5">
        <v>-4.9799999999999997E-2</v>
      </c>
      <c r="L47" s="6">
        <f t="shared" si="6"/>
        <v>1.6000000000000042E-3</v>
      </c>
      <c r="M47" s="7">
        <f t="shared" si="7"/>
        <v>2.9000000000000011E-3</v>
      </c>
      <c r="N47" s="8">
        <f>'2_52组全量工况与偏差明细'!AG47</f>
        <v>2.0510910649271644E-2</v>
      </c>
    </row>
    <row r="48" spans="1:14" ht="19" customHeight="1" x14ac:dyDescent="0.25">
      <c r="A48" s="9" t="s">
        <v>64</v>
      </c>
      <c r="B48" s="10">
        <v>0.25</v>
      </c>
      <c r="C48" s="11">
        <v>30</v>
      </c>
      <c r="D48" s="12">
        <v>-0.39860000000000001</v>
      </c>
      <c r="E48" s="12">
        <v>-0.38540000000000002</v>
      </c>
      <c r="F48" s="13">
        <f t="shared" si="4"/>
        <v>1.319999999999999E-2</v>
      </c>
      <c r="G48" s="12">
        <v>-8.6999999999999994E-3</v>
      </c>
      <c r="H48" s="12">
        <v>-8.0999999999999996E-3</v>
      </c>
      <c r="I48" s="13">
        <f t="shared" si="5"/>
        <v>5.9999999999999984E-4</v>
      </c>
      <c r="J48" s="12">
        <v>0.26140000000000002</v>
      </c>
      <c r="K48" s="12">
        <v>0.25409999999999999</v>
      </c>
      <c r="L48" s="13">
        <f t="shared" si="6"/>
        <v>7.3000000000000287E-3</v>
      </c>
      <c r="M48" s="14">
        <f t="shared" si="7"/>
        <v>7.0333333333333393E-3</v>
      </c>
      <c r="N48" s="15">
        <f>'2_52组全量工况与偏差明细'!AG48</f>
        <v>2.0353305796031972E-2</v>
      </c>
    </row>
    <row r="49" spans="1:14" ht="19" customHeight="1" x14ac:dyDescent="0.25">
      <c r="A49" s="2" t="s">
        <v>65</v>
      </c>
      <c r="B49" s="3">
        <v>0.25</v>
      </c>
      <c r="C49" s="4">
        <v>45</v>
      </c>
      <c r="D49" s="5">
        <v>4.5644</v>
      </c>
      <c r="E49" s="5">
        <v>4.3852000000000002</v>
      </c>
      <c r="F49" s="6">
        <f t="shared" si="4"/>
        <v>0.1791999999999998</v>
      </c>
      <c r="G49" s="5">
        <v>-1.1719999999999999</v>
      </c>
      <c r="H49" s="5">
        <v>-1.1214</v>
      </c>
      <c r="I49" s="6">
        <f t="shared" si="5"/>
        <v>5.0599999999999978E-2</v>
      </c>
      <c r="J49" s="5">
        <v>6.9500000000000006E-2</v>
      </c>
      <c r="K49" s="5">
        <v>6.7400000000000002E-2</v>
      </c>
      <c r="L49" s="6">
        <f t="shared" si="6"/>
        <v>2.1000000000000046E-3</v>
      </c>
      <c r="M49" s="7">
        <f t="shared" si="7"/>
        <v>7.7299999999999924E-2</v>
      </c>
      <c r="N49" s="8">
        <f>'2_52组全量工况与偏差明细'!AG49</f>
        <v>3.7550083859797877E-2</v>
      </c>
    </row>
    <row r="50" spans="1:14" ht="19" customHeight="1" x14ac:dyDescent="0.25">
      <c r="A50" s="9" t="s">
        <v>66</v>
      </c>
      <c r="B50" s="10">
        <v>0.25</v>
      </c>
      <c r="C50" s="11">
        <v>60</v>
      </c>
      <c r="D50" s="12">
        <v>-0.12559999999999999</v>
      </c>
      <c r="E50" s="12">
        <v>-0.12039999999999999</v>
      </c>
      <c r="F50" s="13">
        <f t="shared" si="4"/>
        <v>5.1999999999999963E-3</v>
      </c>
      <c r="G50" s="12">
        <v>-8.1900000000000001E-2</v>
      </c>
      <c r="H50" s="12">
        <v>-7.8399999999999997E-2</v>
      </c>
      <c r="I50" s="13">
        <f t="shared" si="5"/>
        <v>3.5000000000000031E-3</v>
      </c>
      <c r="J50" s="12">
        <v>0.44109999999999999</v>
      </c>
      <c r="K50" s="12">
        <v>0.42870000000000003</v>
      </c>
      <c r="L50" s="13">
        <f t="shared" si="6"/>
        <v>1.2399999999999967E-2</v>
      </c>
      <c r="M50" s="14">
        <f t="shared" si="7"/>
        <v>7.033333333333322E-3</v>
      </c>
      <c r="N50" s="15">
        <f>'2_52组全量工况与偏差明细'!AG50</f>
        <v>3.7415951984625821E-2</v>
      </c>
    </row>
    <row r="51" spans="1:14" ht="19" customHeight="1" x14ac:dyDescent="0.25">
      <c r="A51" s="2" t="s">
        <v>67</v>
      </c>
      <c r="B51" s="3">
        <v>0.25</v>
      </c>
      <c r="C51" s="4">
        <v>90</v>
      </c>
      <c r="D51" s="5">
        <v>8.1310000000000002</v>
      </c>
      <c r="E51" s="5">
        <v>7.8213999999999997</v>
      </c>
      <c r="F51" s="6">
        <f t="shared" si="4"/>
        <v>0.30960000000000054</v>
      </c>
      <c r="G51" s="5">
        <v>-4.4512999999999998</v>
      </c>
      <c r="H51" s="5">
        <v>-4.2813999999999997</v>
      </c>
      <c r="I51" s="6">
        <f t="shared" si="5"/>
        <v>0.16990000000000016</v>
      </c>
      <c r="J51" s="5">
        <v>3.3700000000000001E-2</v>
      </c>
      <c r="K51" s="5">
        <v>3.2099999999999997E-2</v>
      </c>
      <c r="L51" s="6">
        <f t="shared" si="6"/>
        <v>1.6000000000000042E-3</v>
      </c>
      <c r="M51" s="7">
        <f t="shared" si="7"/>
        <v>0.16036666666666691</v>
      </c>
      <c r="N51" s="8">
        <f>'2_52组全量工况与偏差明细'!AG51</f>
        <v>2.5505712857625307E-2</v>
      </c>
    </row>
    <row r="52" spans="1:14" ht="19" customHeight="1" x14ac:dyDescent="0.25">
      <c r="A52" s="9" t="s">
        <v>68</v>
      </c>
      <c r="B52" s="10">
        <v>0.5</v>
      </c>
      <c r="C52" s="11">
        <v>0</v>
      </c>
      <c r="D52" s="12">
        <v>-1.006</v>
      </c>
      <c r="E52" s="12">
        <v>-0.97540000000000004</v>
      </c>
      <c r="F52" s="13">
        <f t="shared" si="4"/>
        <v>3.0599999999999961E-2</v>
      </c>
      <c r="G52" s="12">
        <v>-0.22900000000000001</v>
      </c>
      <c r="H52" s="12">
        <v>-0.2198</v>
      </c>
      <c r="I52" s="13">
        <f t="shared" si="5"/>
        <v>9.2000000000000137E-3</v>
      </c>
      <c r="J52" s="12">
        <v>-0.2094</v>
      </c>
      <c r="K52" s="12">
        <v>-0.2014</v>
      </c>
      <c r="L52" s="13">
        <f t="shared" si="6"/>
        <v>8.0000000000000071E-3</v>
      </c>
      <c r="M52" s="14">
        <f t="shared" si="7"/>
        <v>1.5933333333333327E-2</v>
      </c>
      <c r="N52" s="15">
        <f>'2_52组全量工况与偏差明细'!AG52</f>
        <v>3.6265520341385728E-2</v>
      </c>
    </row>
    <row r="53" spans="1:14" ht="19" customHeight="1" x14ac:dyDescent="0.25">
      <c r="A53" s="2" t="s">
        <v>69</v>
      </c>
      <c r="B53" s="3">
        <v>0.5</v>
      </c>
      <c r="C53" s="4">
        <v>30</v>
      </c>
      <c r="D53" s="5">
        <v>-1.0716000000000001</v>
      </c>
      <c r="E53" s="5">
        <v>-1.0341</v>
      </c>
      <c r="F53" s="6">
        <f t="shared" si="4"/>
        <v>3.7500000000000089E-2</v>
      </c>
      <c r="G53" s="5">
        <v>4.65E-2</v>
      </c>
      <c r="H53" s="5">
        <v>4.41E-2</v>
      </c>
      <c r="I53" s="6">
        <f t="shared" si="5"/>
        <v>2.3999999999999994E-3</v>
      </c>
      <c r="J53" s="5">
        <v>0.52829999999999999</v>
      </c>
      <c r="K53" s="5">
        <v>0.51239999999999997</v>
      </c>
      <c r="L53" s="6">
        <f t="shared" si="6"/>
        <v>1.5900000000000025E-2</v>
      </c>
      <c r="M53" s="7">
        <f t="shared" si="7"/>
        <v>1.8600000000000037E-2</v>
      </c>
      <c r="N53" s="8">
        <f>'2_52组全量工况与偏差明细'!AG53</f>
        <v>2.172026214309895E-2</v>
      </c>
    </row>
    <row r="54" spans="1:14" ht="19" customHeight="1" x14ac:dyDescent="0.25">
      <c r="A54" s="9" t="s">
        <v>70</v>
      </c>
      <c r="B54" s="10">
        <v>0.5</v>
      </c>
      <c r="C54" s="11">
        <v>45</v>
      </c>
      <c r="D54" s="12">
        <v>7.2058</v>
      </c>
      <c r="E54" s="12">
        <v>6.9412000000000003</v>
      </c>
      <c r="F54" s="13">
        <f t="shared" si="4"/>
        <v>0.26459999999999972</v>
      </c>
      <c r="G54" s="12">
        <v>9.3284000000000002</v>
      </c>
      <c r="H54" s="12">
        <v>8.9854000000000003</v>
      </c>
      <c r="I54" s="13">
        <f t="shared" si="5"/>
        <v>0.34299999999999997</v>
      </c>
      <c r="J54" s="12">
        <v>-9.3299999999999994E-2</v>
      </c>
      <c r="K54" s="12">
        <v>-8.9499999999999996E-2</v>
      </c>
      <c r="L54" s="13">
        <f t="shared" si="6"/>
        <v>3.7999999999999978E-3</v>
      </c>
      <c r="M54" s="14">
        <f t="shared" si="7"/>
        <v>0.2037999999999999</v>
      </c>
      <c r="N54" s="15">
        <f>'2_52组全量工况与偏差明细'!AG54</f>
        <v>3.8072895553495065E-2</v>
      </c>
    </row>
    <row r="55" spans="1:14" ht="19" customHeight="1" x14ac:dyDescent="0.25">
      <c r="A55" s="2" t="s">
        <v>71</v>
      </c>
      <c r="B55" s="3">
        <v>0.5</v>
      </c>
      <c r="C55" s="4">
        <v>60</v>
      </c>
      <c r="D55" s="5">
        <v>-0.46100000000000002</v>
      </c>
      <c r="E55" s="5">
        <v>-0.44519999999999998</v>
      </c>
      <c r="F55" s="6">
        <f t="shared" si="4"/>
        <v>1.5800000000000036E-2</v>
      </c>
      <c r="G55" s="5">
        <v>0.13370000000000001</v>
      </c>
      <c r="H55" s="5">
        <v>0.12870000000000001</v>
      </c>
      <c r="I55" s="6">
        <f t="shared" si="5"/>
        <v>5.0000000000000044E-3</v>
      </c>
      <c r="J55" s="5">
        <v>1.0646</v>
      </c>
      <c r="K55" s="5">
        <v>1.0321</v>
      </c>
      <c r="L55" s="6">
        <f t="shared" si="6"/>
        <v>3.2499999999999973E-2</v>
      </c>
      <c r="M55" s="7">
        <f t="shared" si="7"/>
        <v>1.776666666666667E-2</v>
      </c>
      <c r="N55" s="8">
        <f>'2_52组全量工况与偏差明细'!AG55</f>
        <v>3.4066124830004922E-2</v>
      </c>
    </row>
    <row r="56" spans="1:14" ht="19" customHeight="1" x14ac:dyDescent="0.25">
      <c r="A56" s="9" t="s">
        <v>72</v>
      </c>
      <c r="B56" s="10">
        <v>0.5</v>
      </c>
      <c r="C56" s="11">
        <v>90</v>
      </c>
      <c r="D56" s="12">
        <v>2.6756000000000002</v>
      </c>
      <c r="E56" s="12">
        <v>2.5840999999999998</v>
      </c>
      <c r="F56" s="13">
        <f t="shared" si="4"/>
        <v>9.1500000000000359E-2</v>
      </c>
      <c r="G56" s="12">
        <v>23.719899999999999</v>
      </c>
      <c r="H56" s="12">
        <v>22.845099999999999</v>
      </c>
      <c r="I56" s="13">
        <f t="shared" si="5"/>
        <v>0.87480000000000047</v>
      </c>
      <c r="J56" s="12">
        <v>3.1199999999999999E-2</v>
      </c>
      <c r="K56" s="12">
        <v>2.98E-2</v>
      </c>
      <c r="L56" s="13">
        <f t="shared" si="6"/>
        <v>1.3999999999999985E-3</v>
      </c>
      <c r="M56" s="14">
        <f t="shared" si="7"/>
        <v>0.32256666666666695</v>
      </c>
      <c r="N56" s="15">
        <f>'2_52组全量工况与偏差明细'!AG56</f>
        <v>2.3772125496368864E-2</v>
      </c>
    </row>
    <row r="57" spans="1:14" ht="22" customHeight="1" x14ac:dyDescent="0.3">
      <c r="A57" s="66" t="s">
        <v>73</v>
      </c>
      <c r="B57" s="67"/>
      <c r="C57" s="67"/>
      <c r="D57" s="16">
        <f t="shared" ref="D57:N57" si="8">AVERAGE(D5:D56)</f>
        <v>-0.30854615384615386</v>
      </c>
      <c r="E57" s="16">
        <f t="shared" si="8"/>
        <v>-0.29357307692307688</v>
      </c>
      <c r="F57" s="17">
        <f t="shared" si="8"/>
        <v>5.3046153846153868E-2</v>
      </c>
      <c r="G57" s="16">
        <f t="shared" si="8"/>
        <v>0.54054615384615379</v>
      </c>
      <c r="H57" s="16">
        <f t="shared" si="8"/>
        <v>0.52798846153846146</v>
      </c>
      <c r="I57" s="17">
        <f t="shared" si="8"/>
        <v>7.163076923076922E-2</v>
      </c>
      <c r="J57" s="16">
        <f t="shared" si="8"/>
        <v>0.25899807692307691</v>
      </c>
      <c r="K57" s="16">
        <f t="shared" si="8"/>
        <v>0.25237884615384609</v>
      </c>
      <c r="L57" s="17">
        <f t="shared" si="8"/>
        <v>1.7200000000000003E-2</v>
      </c>
      <c r="M57" s="17">
        <f t="shared" si="8"/>
        <v>4.7292307692307696E-2</v>
      </c>
      <c r="N57" s="18">
        <f t="shared" si="8"/>
        <v>3.2797463477323714E-2</v>
      </c>
    </row>
    <row r="58" spans="1:14" ht="22" customHeight="1" x14ac:dyDescent="0.3">
      <c r="A58" s="66" t="s">
        <v>74</v>
      </c>
      <c r="B58" s="67"/>
      <c r="C58" s="67"/>
      <c r="D58" s="16">
        <f t="shared" ref="D58:N58" si="9">SQRT(SUMSQ(D5:D56)/COUNT(D5:D56))</f>
        <v>2.3569727194824752</v>
      </c>
      <c r="E58" s="16">
        <f t="shared" si="9"/>
        <v>2.2659731185179921</v>
      </c>
      <c r="F58" s="17">
        <f t="shared" si="9"/>
        <v>9.1596668145651594E-2</v>
      </c>
      <c r="G58" s="16">
        <f t="shared" si="9"/>
        <v>4.3045013108372956</v>
      </c>
      <c r="H58" s="16">
        <f t="shared" si="9"/>
        <v>4.1203452050115335</v>
      </c>
      <c r="I58" s="17">
        <f t="shared" si="9"/>
        <v>0.19183445587677531</v>
      </c>
      <c r="J58" s="16">
        <f t="shared" si="9"/>
        <v>0.89066330414256634</v>
      </c>
      <c r="K58" s="16">
        <f t="shared" si="9"/>
        <v>0.86207105375993764</v>
      </c>
      <c r="L58" s="17">
        <f t="shared" si="9"/>
        <v>2.9040820077422605E-2</v>
      </c>
      <c r="M58" s="17">
        <f t="shared" si="9"/>
        <v>8.7563863141167597E-2</v>
      </c>
      <c r="N58" s="18">
        <f t="shared" si="9"/>
        <v>3.7149627513145371E-2</v>
      </c>
    </row>
    <row r="59" spans="1:14" ht="22" customHeight="1" x14ac:dyDescent="0.3">
      <c r="A59" s="66" t="s">
        <v>75</v>
      </c>
      <c r="B59" s="67"/>
      <c r="C59" s="67"/>
      <c r="D59" s="16">
        <f t="shared" ref="D59:N59" si="10">MAX(MAX(D5:D56),-MIN(D5:D56))</f>
        <v>8.9863999999999997</v>
      </c>
      <c r="E59" s="16">
        <f t="shared" si="10"/>
        <v>8.6213999999999995</v>
      </c>
      <c r="F59" s="17">
        <f t="shared" si="10"/>
        <v>0.36500000000000021</v>
      </c>
      <c r="G59" s="16">
        <f t="shared" si="10"/>
        <v>23.719899999999999</v>
      </c>
      <c r="H59" s="16">
        <f t="shared" si="10"/>
        <v>22.845099999999999</v>
      </c>
      <c r="I59" s="17">
        <f t="shared" si="10"/>
        <v>0.87480000000000047</v>
      </c>
      <c r="J59" s="16">
        <f t="shared" si="10"/>
        <v>3.4174000000000002</v>
      </c>
      <c r="K59" s="16">
        <f t="shared" si="10"/>
        <v>3.2841</v>
      </c>
      <c r="L59" s="17">
        <f t="shared" si="10"/>
        <v>0.1333000000000002</v>
      </c>
      <c r="M59" s="17">
        <f t="shared" si="10"/>
        <v>0.32256666666666695</v>
      </c>
      <c r="N59" s="18">
        <f t="shared" si="10"/>
        <v>9.1153811007252505E-2</v>
      </c>
    </row>
    <row r="60" spans="1:14" ht="22" customHeight="1" x14ac:dyDescent="0.3">
      <c r="A60" s="64" t="s">
        <v>76</v>
      </c>
      <c r="B60" s="65"/>
      <c r="C60" s="65"/>
      <c r="D60" s="20">
        <f>MAX(D5:D56)-MIN(D5:D56)</f>
        <v>17.1174</v>
      </c>
      <c r="E60" s="20">
        <f>MAX(E5:E56)-MIN(E5:E56)</f>
        <v>16.442799999999998</v>
      </c>
      <c r="F60" s="21">
        <f>F58/D60</f>
        <v>5.3510853368882892E-3</v>
      </c>
      <c r="G60" s="20">
        <f>MAX(G5:G56)-MIN(G5:G56)</f>
        <v>34.3596</v>
      </c>
      <c r="H60" s="20">
        <f>MAX(H5:H56)-MIN(H5:H56)</f>
        <v>32.699300000000001</v>
      </c>
      <c r="I60" s="21">
        <f>I58/G60</f>
        <v>5.5831399631187592E-3</v>
      </c>
      <c r="J60" s="20">
        <f>MAX(J5:J56)-MIN(J5:J56)</f>
        <v>5.8819999999999997</v>
      </c>
      <c r="K60" s="20">
        <f>MAX(K5:K56)-MIN(K5:K56)</f>
        <v>5.6852999999999998</v>
      </c>
      <c r="L60" s="21">
        <f>L58/J60</f>
        <v>4.9372356473006808E-3</v>
      </c>
      <c r="M60" s="21">
        <f>AVERAGE(F60,I60,L60)</f>
        <v>5.29048698243591E-3</v>
      </c>
      <c r="N60" s="21">
        <f>AVERAGE(N5:N56)</f>
        <v>3.2797463477323714E-2</v>
      </c>
    </row>
  </sheetData>
  <mergeCells count="11">
    <mergeCell ref="A1:N1"/>
    <mergeCell ref="A60:C60"/>
    <mergeCell ref="A57:C57"/>
    <mergeCell ref="A2:N2"/>
    <mergeCell ref="A58:C58"/>
    <mergeCell ref="D3:F3"/>
    <mergeCell ref="A3:C3"/>
    <mergeCell ref="G3:I3"/>
    <mergeCell ref="M3:N3"/>
    <mergeCell ref="A59:C59"/>
    <mergeCell ref="J3:L3"/>
  </mergeCells>
  <phoneticPr fontId="1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5"/>
  <sheetViews>
    <sheetView workbookViewId="0"/>
  </sheetViews>
  <sheetFormatPr defaultRowHeight="14" x14ac:dyDescent="0.25"/>
  <cols>
    <col min="1" max="2" width="32" customWidth="1"/>
    <col min="3" max="4" width="30" customWidth="1"/>
    <col min="5" max="5" width="32" customWidth="1"/>
    <col min="6" max="7" width="30" customWidth="1"/>
    <col min="8" max="9" width="31" customWidth="1"/>
    <col min="10" max="10" width="32" customWidth="1"/>
    <col min="11" max="11" width="31" customWidth="1"/>
  </cols>
  <sheetData>
    <row r="1" spans="1:11" ht="32" customHeight="1" x14ac:dyDescent="0.25">
      <c r="A1" s="75" t="s">
        <v>77</v>
      </c>
      <c r="B1" s="69"/>
      <c r="C1" s="69"/>
      <c r="D1" s="69"/>
      <c r="E1" s="69"/>
      <c r="F1" s="69"/>
      <c r="G1" s="69"/>
      <c r="H1" s="69"/>
      <c r="I1" s="69"/>
      <c r="J1" s="69"/>
      <c r="K1" s="69"/>
    </row>
    <row r="2" spans="1:11" ht="24" customHeight="1" x14ac:dyDescent="0.25">
      <c r="A2" s="68" t="s">
        <v>78</v>
      </c>
      <c r="B2" s="69"/>
      <c r="C2" s="69"/>
      <c r="D2" s="69"/>
      <c r="E2" s="69"/>
      <c r="F2" s="69"/>
      <c r="G2" s="69"/>
      <c r="H2" s="69"/>
      <c r="I2" s="69"/>
      <c r="J2" s="69"/>
      <c r="K2" s="69"/>
    </row>
    <row r="4" spans="1:11" ht="22" customHeight="1" x14ac:dyDescent="0.3">
      <c r="A4" s="22" t="s">
        <v>79</v>
      </c>
    </row>
    <row r="5" spans="1:11" ht="30" customHeight="1" x14ac:dyDescent="0.25">
      <c r="A5" s="23" t="s">
        <v>80</v>
      </c>
      <c r="B5" s="23" t="s">
        <v>81</v>
      </c>
      <c r="C5" s="23" t="s">
        <v>82</v>
      </c>
      <c r="D5" s="23" t="s">
        <v>83</v>
      </c>
      <c r="E5" s="23" t="s">
        <v>84</v>
      </c>
      <c r="F5" s="23" t="s">
        <v>85</v>
      </c>
      <c r="G5" s="23" t="s">
        <v>86</v>
      </c>
      <c r="H5" s="23" t="s">
        <v>87</v>
      </c>
      <c r="I5" s="23" t="s">
        <v>88</v>
      </c>
      <c r="J5" s="23" t="s">
        <v>89</v>
      </c>
      <c r="K5" s="23" t="s">
        <v>90</v>
      </c>
    </row>
    <row r="6" spans="1:11" ht="22" customHeight="1" x14ac:dyDescent="0.25">
      <c r="A6" s="24" t="s">
        <v>91</v>
      </c>
      <c r="B6" s="25">
        <f>'2_52组全量工况与偏差明细'!D62</f>
        <v>17.1174</v>
      </c>
      <c r="C6" s="25">
        <f>'2_52组全量工况与偏差明细'!G57</f>
        <v>5.3046153846153868E-2</v>
      </c>
      <c r="D6" s="25">
        <f>'2_52组全量工况与偏差明细'!G59</f>
        <v>9.1596668145651594E-2</v>
      </c>
      <c r="E6" s="25">
        <f>'2_52组全量工况与偏差明细'!G60</f>
        <v>0.36500000000000021</v>
      </c>
      <c r="F6" s="26">
        <f>'2_52组全量工况与偏差明细'!H57</f>
        <v>3.7702434264924159E-2</v>
      </c>
      <c r="G6" s="26">
        <f>'2_52组全量工况与偏差明细'!G62</f>
        <v>5.3510853368882892E-3</v>
      </c>
      <c r="H6" s="25">
        <f>'2_52组全量工况与偏差明细'!J57</f>
        <v>0.93565576923076921</v>
      </c>
      <c r="I6" s="25">
        <f>'2_52组全量工况与偏差明细'!J59</f>
        <v>2.0779486346561193</v>
      </c>
      <c r="J6" s="27">
        <f>H6-C6</f>
        <v>0.88260961538461535</v>
      </c>
      <c r="K6" s="18">
        <f>(H6-C6)/H6</f>
        <v>0.94330590844348161</v>
      </c>
    </row>
    <row r="7" spans="1:11" ht="22" customHeight="1" x14ac:dyDescent="0.25">
      <c r="A7" s="24" t="s">
        <v>92</v>
      </c>
      <c r="B7" s="25">
        <f>'2_52组全量工况与偏差明细'!M62</f>
        <v>34.3596</v>
      </c>
      <c r="C7" s="25">
        <f>'2_52组全量工况与偏差明细'!P57</f>
        <v>7.163076923076922E-2</v>
      </c>
      <c r="D7" s="25">
        <f>'2_52组全量工况与偏差明细'!P59</f>
        <v>0.19183445587677531</v>
      </c>
      <c r="E7" s="25">
        <f>'2_52组全量工况与偏差明细'!P60</f>
        <v>0.87480000000000047</v>
      </c>
      <c r="F7" s="26">
        <f>'2_52组全量工况与偏差明细'!Q57</f>
        <v>3.3755239017035713E-2</v>
      </c>
      <c r="G7" s="26">
        <f>'2_52组全量工况与偏差明细'!P62</f>
        <v>5.5831399631187592E-3</v>
      </c>
      <c r="H7" s="25">
        <f>'2_52组全量工况与偏差明细'!S57</f>
        <v>2.0637826923076918</v>
      </c>
      <c r="I7" s="25">
        <f>'2_52组全量工况与偏差明细'!S59</f>
        <v>4.6786452682332662</v>
      </c>
      <c r="J7" s="27">
        <f>H7-C7</f>
        <v>1.9921519230769227</v>
      </c>
      <c r="K7" s="18">
        <f>(H7-C7)/H7</f>
        <v>0.96529151567277038</v>
      </c>
    </row>
    <row r="8" spans="1:11" ht="22" customHeight="1" x14ac:dyDescent="0.25">
      <c r="A8" s="24" t="s">
        <v>93</v>
      </c>
      <c r="B8" s="25">
        <f>'2_52组全量工况与偏差明细'!V62</f>
        <v>5.8819999999999997</v>
      </c>
      <c r="C8" s="25">
        <f>'2_52组全量工况与偏差明细'!Y57</f>
        <v>1.7200000000000003E-2</v>
      </c>
      <c r="D8" s="25">
        <f>'2_52组全量工况与偏差明细'!Y59</f>
        <v>2.9040820077422605E-2</v>
      </c>
      <c r="E8" s="25">
        <f>'2_52组全量工况与偏差明细'!Y60</f>
        <v>0.1333000000000002</v>
      </c>
      <c r="F8" s="26">
        <f>'2_52组全量工况与偏差明细'!Z57</f>
        <v>2.6934717150011243E-2</v>
      </c>
      <c r="G8" s="26">
        <f>'2_52组全量工况与偏差明细'!Y62</f>
        <v>4.9372356473006808E-3</v>
      </c>
      <c r="H8" s="25">
        <f>'2_52组全量工况与偏差明细'!AB57</f>
        <v>0.43659807692307695</v>
      </c>
      <c r="I8" s="25">
        <f>'2_52组全量工况与偏差明细'!AB59</f>
        <v>0.7960283947148542</v>
      </c>
      <c r="J8" s="27">
        <f>H8-C8</f>
        <v>0.41939807692307696</v>
      </c>
      <c r="K8" s="18">
        <f>(H8-C8)/H8</f>
        <v>0.96060449894507804</v>
      </c>
    </row>
    <row r="9" spans="1:11" ht="23" customHeight="1" x14ac:dyDescent="0.3">
      <c r="A9" s="19" t="s">
        <v>94</v>
      </c>
      <c r="B9" s="20">
        <f t="shared" ref="B9:K9" si="0">AVERAGE(B6:B8)</f>
        <v>19.119666666666667</v>
      </c>
      <c r="C9" s="20">
        <f t="shared" si="0"/>
        <v>4.7292307692307696E-2</v>
      </c>
      <c r="D9" s="20">
        <f t="shared" si="0"/>
        <v>0.10415731469994982</v>
      </c>
      <c r="E9" s="20">
        <f t="shared" si="0"/>
        <v>0.45770000000000027</v>
      </c>
      <c r="F9" s="28">
        <f t="shared" si="0"/>
        <v>3.2797463477323707E-2</v>
      </c>
      <c r="G9" s="28">
        <f t="shared" si="0"/>
        <v>5.29048698243591E-3</v>
      </c>
      <c r="H9" s="20">
        <f t="shared" si="0"/>
        <v>1.1453455128205128</v>
      </c>
      <c r="I9" s="20">
        <f t="shared" si="0"/>
        <v>2.51754076586808</v>
      </c>
      <c r="J9" s="20">
        <f t="shared" si="0"/>
        <v>1.098053205128205</v>
      </c>
      <c r="K9" s="29">
        <f t="shared" si="0"/>
        <v>0.95640064102044331</v>
      </c>
    </row>
    <row r="11" spans="1:11" ht="22" customHeight="1" x14ac:dyDescent="0.3">
      <c r="A11" s="22" t="s">
        <v>95</v>
      </c>
    </row>
    <row r="12" spans="1:11" ht="28" customHeight="1" x14ac:dyDescent="0.25">
      <c r="A12" s="1" t="s">
        <v>96</v>
      </c>
      <c r="B12" s="1" t="s">
        <v>97</v>
      </c>
      <c r="C12" s="1" t="s">
        <v>98</v>
      </c>
      <c r="D12" s="1" t="s">
        <v>99</v>
      </c>
      <c r="E12" s="1" t="s">
        <v>100</v>
      </c>
      <c r="F12" s="1" t="s">
        <v>101</v>
      </c>
      <c r="G12" s="1" t="s">
        <v>102</v>
      </c>
      <c r="H12" s="1" t="s">
        <v>103</v>
      </c>
      <c r="I12" s="1" t="s">
        <v>104</v>
      </c>
      <c r="J12" s="1" t="s">
        <v>105</v>
      </c>
      <c r="K12" s="1" t="s">
        <v>106</v>
      </c>
    </row>
    <row r="13" spans="1:11" ht="22" customHeight="1" x14ac:dyDescent="0.25">
      <c r="A13" s="24" t="s">
        <v>107</v>
      </c>
      <c r="B13" s="30">
        <f>COUNTIF('2_52组全量工况与偏差明细'!$B$5:$B$56, 0)</f>
        <v>7</v>
      </c>
      <c r="C13" s="31">
        <f>AVERAGEIFS('2_52组全量工况与偏差明细'!G$5:G$56, '2_52组全量工况与偏差明细'!$B$5:$B$56, 0)</f>
        <v>9.2857142857142889E-4</v>
      </c>
      <c r="D13" s="31">
        <f>AVERAGEIFS('2_52组全量工况与偏差明细'!J$5:J$56, '2_52组全量工况与偏差明细'!$B$5:$B$56, 0)</f>
        <v>8.7285714285714276E-3</v>
      </c>
      <c r="E13" s="31">
        <f>AVERAGEIFS('2_52组全量工况与偏差明细'!P$5:P$56, '2_52组全量工况与偏差明细'!$B$5:$B$56, 0)</f>
        <v>1.0000000000000014E-4</v>
      </c>
      <c r="F13" s="31">
        <f>AVERAGEIFS('2_52组全量工况与偏差明细'!S$5:S$56, '2_52组全量工况与偏差明细'!$B$5:$B$56, 0)</f>
        <v>7.2714285714285719E-3</v>
      </c>
      <c r="G13" s="31">
        <f>AVERAGEIFS('2_52组全量工况与偏差明细'!Y$5:Y$56, '2_52组全量工况与偏差明细'!$B$5:$B$56, 0)</f>
        <v>4.1428571428571377E-4</v>
      </c>
      <c r="H13" s="31">
        <f>AVERAGEIFS('2_52组全量工况与偏差明细'!AB$5:AB$56, '2_52组全量工况与偏差明细'!$B$5:$B$56, 0)</f>
        <v>1.4414285714285715E-2</v>
      </c>
      <c r="I13" s="32">
        <f>AVERAGE(C13,E13,G13)</f>
        <v>4.8095238095238095E-4</v>
      </c>
      <c r="J13" s="33">
        <f>AVERAGEIFS('2_52组全量工况与偏差明细'!AG$5:AG$56, '2_52组全量工况与偏差明细'!$B$5:$B$56, 0)</f>
        <v>4.2530138652120656E-5</v>
      </c>
      <c r="K13" s="18">
        <f>(AVERAGE(D13,F13,H13)-I13)/AVERAGE(D13,F13,H13)</f>
        <v>0.95255988727101926</v>
      </c>
    </row>
    <row r="14" spans="1:11" ht="22" customHeight="1" x14ac:dyDescent="0.25">
      <c r="A14" s="24" t="s">
        <v>108</v>
      </c>
      <c r="B14" s="30">
        <f>COUNTIFS('2_52组全量工况与偏差明细'!$B$5:$B$56, "&gt;0", '2_52组全量工况与偏差明细'!$B$5:$B$56, "&lt;=0.5")</f>
        <v>24</v>
      </c>
      <c r="C14" s="31">
        <f>AVERAGEIFS('2_52组全量工况与偏差明细'!G$5:G$56, '2_52组全量工况与偏差明细'!$B$5:$B$56, "&gt;0", '2_52组全量工况与偏差明细'!$B$5:$B$56, "&lt;=0.5")</f>
        <v>5.5387500000000013E-2</v>
      </c>
      <c r="D14" s="31">
        <f>AVERAGEIFS('2_52组全量工况与偏差明细'!J$5:J$56, '2_52组全量工况与偏差明细'!$B$5:$B$56, "&gt;0", '2_52组全量工况与偏差明细'!$B$5:$B$56, "&lt;=0.5")</f>
        <v>1.0913625</v>
      </c>
      <c r="E14" s="31">
        <f>AVERAGEIFS('2_52组全量工况与偏差明细'!P$5:P$56, '2_52组全量工况与偏差明细'!$B$5:$B$56, "&gt;0", '2_52组全量工况与偏差明细'!$B$5:$B$56, "&lt;=0.5")</f>
        <v>6.4308333333333356E-2</v>
      </c>
      <c r="F14" s="31">
        <f>AVERAGEIFS('2_52组全量工况与偏差明细'!S$5:S$56, '2_52组全量工况与偏差明细'!$B$5:$B$56, "&gt;0", '2_52组全量工况与偏差明细'!$B$5:$B$56, "&lt;=0.5")</f>
        <v>1.8084416666666667</v>
      </c>
      <c r="G14" s="31">
        <f>AVERAGEIFS('2_52组全量工况与偏差明细'!Y$5:Y$56, '2_52组全量工况与偏差明细'!$B$5:$B$56, "&gt;0", '2_52组全量工况与偏差明细'!$B$5:$B$56, "&lt;=0.5")</f>
        <v>8.533333333333332E-3</v>
      </c>
      <c r="H14" s="31">
        <f>AVERAGEIFS('2_52组全量工况与偏差明细'!AB$5:AB$56, '2_52组全量工况与偏差明细'!$B$5:$B$56, "&gt;0", '2_52组全量工况与偏差明细'!$B$5:$B$56, "&lt;=0.5")</f>
        <v>0.23561666666666667</v>
      </c>
      <c r="I14" s="32">
        <f>AVERAGE(C14,E14,G14)</f>
        <v>4.2743055555555569E-2</v>
      </c>
      <c r="J14" s="33">
        <f>AVERAGEIFS('2_52组全量工况与偏差明细'!AG$5:AG$56, '2_52组全量工况与偏差明细'!$B$5:$B$56, "&gt;0", '2_52组全量工况与偏差明细'!$B$5:$B$56, "&lt;=0.5")</f>
        <v>3.9665878971100396E-2</v>
      </c>
      <c r="K14" s="18">
        <f>(AVERAGE(D14,F14,H14)-I14)/AVERAGE(D14,F14,H14)</f>
        <v>0.95910304438133642</v>
      </c>
    </row>
    <row r="15" spans="1:11" ht="22" customHeight="1" x14ac:dyDescent="0.25">
      <c r="A15" s="24" t="s">
        <v>109</v>
      </c>
      <c r="B15" s="30">
        <f>COUNTIF('2_52组全量工况与偏差明细'!$B$5:$B$56, "&gt;=0.6")</f>
        <v>21</v>
      </c>
      <c r="C15" s="31">
        <f>AVERAGEIFS('2_52组全量工况与偏差明细'!G$5:G$56, '2_52组全量工况与偏差明细'!$B$5:$B$56, "&gt;=0.6")</f>
        <v>6.7742857142857174E-2</v>
      </c>
      <c r="D15" s="31">
        <f>AVERAGEIFS('2_52组全量工况与偏差明细'!J$5:J$56, '2_52组全量工况与偏差明细'!$B$5:$B$56, "&gt;=0.6")</f>
        <v>1.0666809523809522</v>
      </c>
      <c r="E15" s="31">
        <f>AVERAGEIFS('2_52组全量工况与偏差明细'!P$5:P$56, '2_52组全量工况与偏差明细'!$B$5:$B$56, "&gt;=0.6")</f>
        <v>0.1038428571428571</v>
      </c>
      <c r="F15" s="31">
        <f>AVERAGEIFS('2_52组全量工况与偏差明细'!S$5:S$56, '2_52组全量工况与偏差明细'!$B$5:$B$56, "&gt;=0.6")</f>
        <v>3.0411047619047613</v>
      </c>
      <c r="G15" s="31">
        <f>AVERAGEIFS('2_52组全量工况与偏差明细'!Y$5:Y$56, '2_52组全量工况与偏差明细'!$B$5:$B$56, "&gt;=0.6")</f>
        <v>3.2700000000000007E-2</v>
      </c>
      <c r="H15" s="31">
        <f>AVERAGEIFS('2_52组全量工况与偏差明细'!AB$5:AB$56, '2_52组全量工况与偏差明细'!$B$5:$B$56, "&gt;=0.6")</f>
        <v>0.80701904761904775</v>
      </c>
      <c r="I15" s="32">
        <f>AVERAGE(C15,E15,G15)</f>
        <v>6.8095238095238098E-2</v>
      </c>
      <c r="J15" s="33">
        <f>AVERAGEIFS('2_52组全量工况与偏差明细'!AG$5:AG$56, '2_52组全量工况与偏差明细'!$B$5:$B$56, "&gt;=0.6")</f>
        <v>3.5866156883040873E-2</v>
      </c>
      <c r="K15" s="18">
        <f>(AVERAGE(D15,F15,H15)-I15)/AVERAGE(D15,F15,H15)</f>
        <v>0.95843462269973412</v>
      </c>
    </row>
  </sheetData>
  <mergeCells count="2">
    <mergeCell ref="A2:K2"/>
    <mergeCell ref="A1:K1"/>
  </mergeCells>
  <phoneticPr fontId="1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62"/>
  <sheetViews>
    <sheetView workbookViewId="0">
      <pane xSplit="3" ySplit="4" topLeftCell="D5" activePane="bottomRight" state="frozen"/>
      <selection pane="topRight"/>
      <selection pane="bottomLeft"/>
      <selection pane="bottomRight"/>
    </sheetView>
  </sheetViews>
  <sheetFormatPr defaultRowHeight="14" x14ac:dyDescent="0.25"/>
  <cols>
    <col min="1" max="1" width="28" customWidth="1"/>
    <col min="2" max="2" width="15" customWidth="1"/>
    <col min="3" max="3" width="17" customWidth="1"/>
    <col min="4" max="4" width="28" customWidth="1"/>
    <col min="5" max="5" width="19" customWidth="1"/>
    <col min="6" max="7" width="26" customWidth="1"/>
    <col min="8" max="8" width="20" customWidth="1"/>
    <col min="9" max="9" width="19" customWidth="1"/>
    <col min="10" max="10" width="26" customWidth="1"/>
    <col min="11" max="11" width="20" customWidth="1"/>
    <col min="12" max="13" width="28" customWidth="1"/>
    <col min="14" max="14" width="19" customWidth="1"/>
    <col min="15" max="16" width="26" customWidth="1"/>
    <col min="17" max="17" width="20" customWidth="1"/>
    <col min="18" max="18" width="19" customWidth="1"/>
    <col min="19" max="19" width="26" customWidth="1"/>
    <col min="20" max="20" width="20" customWidth="1"/>
    <col min="21" max="22" width="28" customWidth="1"/>
    <col min="23" max="23" width="19" customWidth="1"/>
    <col min="24" max="25" width="26" customWidth="1"/>
    <col min="26" max="26" width="20" customWidth="1"/>
    <col min="27" max="27" width="19" customWidth="1"/>
    <col min="28" max="28" width="26" customWidth="1"/>
    <col min="29" max="29" width="20" customWidth="1"/>
    <col min="30" max="33" width="28" customWidth="1"/>
  </cols>
  <sheetData>
    <row r="1" spans="1:33" ht="30" customHeight="1" x14ac:dyDescent="0.25">
      <c r="A1" s="75" t="s">
        <v>110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/>
    </row>
    <row r="2" spans="1:33" ht="22" customHeight="1" x14ac:dyDescent="0.25">
      <c r="A2" s="68" t="s">
        <v>111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69"/>
    </row>
    <row r="3" spans="1:33" ht="24" customHeight="1" x14ac:dyDescent="0.25">
      <c r="A3" s="71" t="s">
        <v>112</v>
      </c>
      <c r="B3" s="69"/>
      <c r="C3" s="69"/>
      <c r="D3" s="70" t="s">
        <v>113</v>
      </c>
      <c r="E3" s="69"/>
      <c r="F3" s="69"/>
      <c r="G3" s="69"/>
      <c r="H3" s="69"/>
      <c r="I3" s="69"/>
      <c r="J3" s="69"/>
      <c r="K3" s="69"/>
      <c r="L3" s="69"/>
      <c r="M3" s="72" t="s">
        <v>114</v>
      </c>
      <c r="N3" s="69"/>
      <c r="O3" s="69"/>
      <c r="P3" s="69"/>
      <c r="Q3" s="69"/>
      <c r="R3" s="69"/>
      <c r="S3" s="69"/>
      <c r="T3" s="69"/>
      <c r="U3" s="69"/>
      <c r="V3" s="74" t="s">
        <v>115</v>
      </c>
      <c r="W3" s="69"/>
      <c r="X3" s="69"/>
      <c r="Y3" s="69"/>
      <c r="Z3" s="69"/>
      <c r="AA3" s="69"/>
      <c r="AB3" s="69"/>
      <c r="AC3" s="69"/>
      <c r="AD3" s="69"/>
      <c r="AE3" s="73" t="s">
        <v>116</v>
      </c>
      <c r="AF3" s="69"/>
      <c r="AG3" s="69"/>
    </row>
    <row r="4" spans="1:33" ht="32" customHeight="1" x14ac:dyDescent="0.25">
      <c r="A4" s="1" t="s">
        <v>7</v>
      </c>
      <c r="B4" s="1" t="s">
        <v>8</v>
      </c>
      <c r="C4" s="1" t="s">
        <v>9</v>
      </c>
      <c r="D4" s="1" t="s">
        <v>117</v>
      </c>
      <c r="E4" s="1" t="s">
        <v>118</v>
      </c>
      <c r="F4" s="1" t="s">
        <v>119</v>
      </c>
      <c r="G4" s="1" t="s">
        <v>120</v>
      </c>
      <c r="H4" s="1" t="s">
        <v>121</v>
      </c>
      <c r="I4" s="1" t="s">
        <v>122</v>
      </c>
      <c r="J4" s="1" t="s">
        <v>123</v>
      </c>
      <c r="K4" s="1" t="s">
        <v>124</v>
      </c>
      <c r="L4" s="1" t="s">
        <v>125</v>
      </c>
      <c r="M4" s="1" t="s">
        <v>126</v>
      </c>
      <c r="N4" s="1" t="s">
        <v>127</v>
      </c>
      <c r="O4" s="1" t="s">
        <v>128</v>
      </c>
      <c r="P4" s="1" t="s">
        <v>129</v>
      </c>
      <c r="Q4" s="1" t="s">
        <v>130</v>
      </c>
      <c r="R4" s="1" t="s">
        <v>131</v>
      </c>
      <c r="S4" s="1" t="s">
        <v>132</v>
      </c>
      <c r="T4" s="1" t="s">
        <v>133</v>
      </c>
      <c r="U4" s="1" t="s">
        <v>134</v>
      </c>
      <c r="V4" s="1" t="s">
        <v>135</v>
      </c>
      <c r="W4" s="1" t="s">
        <v>136</v>
      </c>
      <c r="X4" s="1" t="s">
        <v>137</v>
      </c>
      <c r="Y4" s="1" t="s">
        <v>138</v>
      </c>
      <c r="Z4" s="1" t="s">
        <v>139</v>
      </c>
      <c r="AA4" s="1" t="s">
        <v>140</v>
      </c>
      <c r="AB4" s="1" t="s">
        <v>141</v>
      </c>
      <c r="AC4" s="1" t="s">
        <v>142</v>
      </c>
      <c r="AD4" s="1" t="s">
        <v>143</v>
      </c>
      <c r="AE4" s="1" t="s">
        <v>144</v>
      </c>
      <c r="AF4" s="1" t="s">
        <v>145</v>
      </c>
      <c r="AG4" s="1" t="s">
        <v>146</v>
      </c>
    </row>
    <row r="5" spans="1:33" ht="19" customHeight="1" x14ac:dyDescent="0.25">
      <c r="A5" s="2" t="s">
        <v>21</v>
      </c>
      <c r="B5" s="3">
        <v>0</v>
      </c>
      <c r="C5" s="4">
        <v>0</v>
      </c>
      <c r="D5" s="5">
        <v>8.6E-3</v>
      </c>
      <c r="E5" s="5">
        <v>7.7999999999999996E-3</v>
      </c>
      <c r="F5" s="34">
        <f t="shared" ref="F5:F36" si="0">E5-D5</f>
        <v>-8.0000000000000036E-4</v>
      </c>
      <c r="G5" s="35">
        <f t="shared" ref="G5:G36" si="1">ABS(E5-D5)</f>
        <v>8.0000000000000036E-4</v>
      </c>
      <c r="H5" s="36">
        <f t="shared" ref="H5:H36" si="2">IF(ABS(D5)&gt;=0.05, G5/ABS(D5), G5/(MAX($D$5:$D$56)-MIN($D$5:$D$56)))</f>
        <v>4.6736069730216062E-5</v>
      </c>
      <c r="I5" s="5">
        <v>0</v>
      </c>
      <c r="J5" s="35">
        <f t="shared" ref="J5:J36" si="3">ABS(I5-D5)</f>
        <v>8.6E-3</v>
      </c>
      <c r="K5" s="36">
        <f t="shared" ref="K5:K36" si="4">IF(ABS(D5)&gt;=0.05, J5/ABS(D5), J5/(MAX($D$5:$D$56)-MIN($D$5:$D$56)))</f>
        <v>5.0241274959982236E-4</v>
      </c>
      <c r="L5" s="37">
        <f t="shared" ref="L5:L36" si="5">J5-G5</f>
        <v>7.7999999999999996E-3</v>
      </c>
      <c r="M5" s="5">
        <v>7.3000000000000001E-3</v>
      </c>
      <c r="N5" s="5">
        <v>7.1999999999999998E-3</v>
      </c>
      <c r="O5" s="34">
        <f t="shared" ref="O5:O36" si="6">N5-M5</f>
        <v>-1.0000000000000026E-4</v>
      </c>
      <c r="P5" s="35">
        <f t="shared" ref="P5:P36" si="7">ABS(N5-M5)</f>
        <v>1.0000000000000026E-4</v>
      </c>
      <c r="Q5" s="36">
        <f t="shared" ref="Q5:Q36" si="8">IF(ABS(M5)&gt;=0.05, P5/ABS(M5), P5/(MAX($M$5:$M$56)-MIN($M$5:$M$56)))</f>
        <v>2.9103947659460605E-6</v>
      </c>
      <c r="R5" s="5">
        <v>0</v>
      </c>
      <c r="S5" s="35">
        <f t="shared" ref="S5:S36" si="9">ABS(R5-M5)</f>
        <v>7.3000000000000001E-3</v>
      </c>
      <c r="T5" s="36">
        <f t="shared" ref="T5:T36" si="10">IF(ABS(M5)&gt;=0.05, S5/ABS(M5), S5/(MAX($M$5:$M$56)-MIN($M$5:$M$56)))</f>
        <v>2.1245881791406187E-4</v>
      </c>
      <c r="U5" s="37">
        <f t="shared" ref="U5:U36" si="11">S5-P5</f>
        <v>7.1999999999999998E-3</v>
      </c>
      <c r="V5" s="5">
        <v>1.41E-2</v>
      </c>
      <c r="W5" s="5">
        <v>1.4E-2</v>
      </c>
      <c r="X5" s="34">
        <f t="shared" ref="X5:X36" si="12">W5-V5</f>
        <v>-9.9999999999999395E-5</v>
      </c>
      <c r="Y5" s="35">
        <f t="shared" ref="Y5:Y36" si="13">ABS(W5-V5)</f>
        <v>9.9999999999999395E-5</v>
      </c>
      <c r="Z5" s="36">
        <f t="shared" ref="Z5:Z36" si="14">IF(ABS(V5)&gt;=0.05, Y5/ABS(V5), Y5/(MAX($V$5:$V$56)-MIN($V$5:$V$56)))</f>
        <v>1.7001020061203572E-5</v>
      </c>
      <c r="AA5" s="5">
        <v>0</v>
      </c>
      <c r="AB5" s="35">
        <f t="shared" ref="AB5:AB36" si="15">ABS(AA5-V5)</f>
        <v>1.41E-2</v>
      </c>
      <c r="AC5" s="36">
        <f t="shared" ref="AC5:AC36" si="16">IF(ABS(V5)&gt;=0.05, AB5/ABS(V5), AB5/(MAX($V$5:$V$56)-MIN($V$5:$V$56)))</f>
        <v>2.3971438286297178E-3</v>
      </c>
      <c r="AD5" s="37">
        <f t="shared" ref="AD5:AD36" si="17">AB5-Y5</f>
        <v>1.4E-2</v>
      </c>
      <c r="AE5" s="6">
        <f t="shared" ref="AE5:AE36" si="18">AVERAGE(G5,P5,Y5)</f>
        <v>3.3333333333333332E-4</v>
      </c>
      <c r="AF5" s="35">
        <f t="shared" ref="AF5:AF36" si="19">AVERAGE(J5,S5,AB5)</f>
        <v>0.01</v>
      </c>
      <c r="AG5" s="38">
        <f t="shared" ref="AG5:AG36" si="20">AVERAGE(H5,Q5,Z5)</f>
        <v>2.2215828185788564E-5</v>
      </c>
    </row>
    <row r="6" spans="1:33" ht="19" customHeight="1" x14ac:dyDescent="0.25">
      <c r="A6" s="9" t="s">
        <v>22</v>
      </c>
      <c r="B6" s="10">
        <v>0</v>
      </c>
      <c r="C6" s="11">
        <v>15</v>
      </c>
      <c r="D6" s="12">
        <v>8.6999999999999994E-3</v>
      </c>
      <c r="E6" s="12">
        <v>7.7999999999999996E-3</v>
      </c>
      <c r="F6" s="39">
        <f t="shared" si="0"/>
        <v>-8.9999999999999976E-4</v>
      </c>
      <c r="G6" s="40">
        <f t="shared" si="1"/>
        <v>8.9999999999999976E-4</v>
      </c>
      <c r="H6" s="41">
        <f t="shared" si="2"/>
        <v>5.2578078446493025E-5</v>
      </c>
      <c r="I6" s="12">
        <v>0</v>
      </c>
      <c r="J6" s="40">
        <f t="shared" si="3"/>
        <v>8.6999999999999994E-3</v>
      </c>
      <c r="K6" s="41">
        <f t="shared" si="4"/>
        <v>5.0825475831609934E-4</v>
      </c>
      <c r="L6" s="42">
        <f t="shared" si="5"/>
        <v>7.7999999999999996E-3</v>
      </c>
      <c r="M6" s="12">
        <v>7.1000000000000004E-3</v>
      </c>
      <c r="N6" s="12">
        <v>7.1999999999999998E-3</v>
      </c>
      <c r="O6" s="39">
        <f t="shared" si="6"/>
        <v>9.9999999999999395E-5</v>
      </c>
      <c r="P6" s="40">
        <f t="shared" si="7"/>
        <v>9.9999999999999395E-5</v>
      </c>
      <c r="Q6" s="41">
        <f t="shared" si="8"/>
        <v>2.9103947659460351E-6</v>
      </c>
      <c r="R6" s="12">
        <v>0</v>
      </c>
      <c r="S6" s="40">
        <f t="shared" si="9"/>
        <v>7.1000000000000004E-3</v>
      </c>
      <c r="T6" s="41">
        <f t="shared" si="10"/>
        <v>2.0663802838216978E-4</v>
      </c>
      <c r="U6" s="42">
        <f t="shared" si="11"/>
        <v>7.000000000000001E-3</v>
      </c>
      <c r="V6" s="12">
        <v>1.5100000000000001E-2</v>
      </c>
      <c r="W6" s="12">
        <v>1.4E-2</v>
      </c>
      <c r="X6" s="39">
        <f t="shared" si="12"/>
        <v>-1.1000000000000003E-3</v>
      </c>
      <c r="Y6" s="40">
        <f t="shared" si="13"/>
        <v>1.1000000000000003E-3</v>
      </c>
      <c r="Z6" s="41">
        <f t="shared" si="14"/>
        <v>1.8701122067324045E-4</v>
      </c>
      <c r="AA6" s="12">
        <v>0</v>
      </c>
      <c r="AB6" s="40">
        <f t="shared" si="15"/>
        <v>1.5100000000000001E-2</v>
      </c>
      <c r="AC6" s="41">
        <f t="shared" si="16"/>
        <v>2.5671540292417547E-3</v>
      </c>
      <c r="AD6" s="42">
        <f t="shared" si="17"/>
        <v>1.4E-2</v>
      </c>
      <c r="AE6" s="13">
        <f t="shared" si="18"/>
        <v>6.9999999999999978E-4</v>
      </c>
      <c r="AF6" s="40">
        <f t="shared" si="19"/>
        <v>1.0300000000000002E-2</v>
      </c>
      <c r="AG6" s="43">
        <f t="shared" si="20"/>
        <v>8.0833231295226505E-5</v>
      </c>
    </row>
    <row r="7" spans="1:33" ht="19" customHeight="1" x14ac:dyDescent="0.25">
      <c r="A7" s="2" t="s">
        <v>23</v>
      </c>
      <c r="B7" s="3">
        <v>0</v>
      </c>
      <c r="C7" s="4">
        <v>30</v>
      </c>
      <c r="D7" s="5">
        <v>9.1000000000000004E-3</v>
      </c>
      <c r="E7" s="5">
        <v>7.7999999999999996E-3</v>
      </c>
      <c r="F7" s="34">
        <f t="shared" si="0"/>
        <v>-1.3000000000000008E-3</v>
      </c>
      <c r="G7" s="35">
        <f t="shared" si="1"/>
        <v>1.3000000000000008E-3</v>
      </c>
      <c r="H7" s="36">
        <f t="shared" si="2"/>
        <v>7.5946113311601104E-5</v>
      </c>
      <c r="I7" s="5">
        <v>0</v>
      </c>
      <c r="J7" s="35">
        <f t="shared" si="3"/>
        <v>9.1000000000000004E-3</v>
      </c>
      <c r="K7" s="36">
        <f t="shared" si="4"/>
        <v>5.316227931812075E-4</v>
      </c>
      <c r="L7" s="37">
        <f t="shared" si="5"/>
        <v>7.7999999999999996E-3</v>
      </c>
      <c r="M7" s="5">
        <v>7.3000000000000001E-3</v>
      </c>
      <c r="N7" s="5">
        <v>7.1999999999999998E-3</v>
      </c>
      <c r="O7" s="34">
        <f t="shared" si="6"/>
        <v>-1.0000000000000026E-4</v>
      </c>
      <c r="P7" s="35">
        <f t="shared" si="7"/>
        <v>1.0000000000000026E-4</v>
      </c>
      <c r="Q7" s="36">
        <f t="shared" si="8"/>
        <v>2.9103947659460605E-6</v>
      </c>
      <c r="R7" s="5">
        <v>0</v>
      </c>
      <c r="S7" s="35">
        <f t="shared" si="9"/>
        <v>7.3000000000000001E-3</v>
      </c>
      <c r="T7" s="36">
        <f t="shared" si="10"/>
        <v>2.1245881791406187E-4</v>
      </c>
      <c r="U7" s="37">
        <f t="shared" si="11"/>
        <v>7.1999999999999998E-3</v>
      </c>
      <c r="V7" s="5">
        <v>1.44E-2</v>
      </c>
      <c r="W7" s="5">
        <v>1.4E-2</v>
      </c>
      <c r="X7" s="34">
        <f t="shared" si="12"/>
        <v>-3.9999999999999931E-4</v>
      </c>
      <c r="Y7" s="35">
        <f t="shared" si="13"/>
        <v>3.9999999999999931E-4</v>
      </c>
      <c r="Z7" s="36">
        <f t="shared" si="14"/>
        <v>6.8004080244814572E-5</v>
      </c>
      <c r="AA7" s="5">
        <v>0</v>
      </c>
      <c r="AB7" s="35">
        <f t="shared" si="15"/>
        <v>1.44E-2</v>
      </c>
      <c r="AC7" s="36">
        <f t="shared" si="16"/>
        <v>2.4481468888133289E-3</v>
      </c>
      <c r="AD7" s="37">
        <f t="shared" si="17"/>
        <v>1.4E-2</v>
      </c>
      <c r="AE7" s="6">
        <f t="shared" si="18"/>
        <v>6.0000000000000016E-4</v>
      </c>
      <c r="AF7" s="35">
        <f t="shared" si="19"/>
        <v>1.0266666666666667E-2</v>
      </c>
      <c r="AG7" s="38">
        <f t="shared" si="20"/>
        <v>4.8953529440787242E-5</v>
      </c>
    </row>
    <row r="8" spans="1:33" ht="19" customHeight="1" x14ac:dyDescent="0.25">
      <c r="A8" s="9" t="s">
        <v>24</v>
      </c>
      <c r="B8" s="10">
        <v>0</v>
      </c>
      <c r="C8" s="11">
        <v>45</v>
      </c>
      <c r="D8" s="12">
        <v>8.8999999999999999E-3</v>
      </c>
      <c r="E8" s="12">
        <v>7.7999999999999996E-3</v>
      </c>
      <c r="F8" s="39">
        <f t="shared" si="0"/>
        <v>-1.1000000000000003E-3</v>
      </c>
      <c r="G8" s="40">
        <f t="shared" si="1"/>
        <v>1.1000000000000003E-3</v>
      </c>
      <c r="H8" s="41">
        <f t="shared" si="2"/>
        <v>6.4262095879047068E-5</v>
      </c>
      <c r="I8" s="12">
        <v>0</v>
      </c>
      <c r="J8" s="40">
        <f t="shared" si="3"/>
        <v>8.8999999999999999E-3</v>
      </c>
      <c r="K8" s="41">
        <f t="shared" si="4"/>
        <v>5.1993877574865342E-4</v>
      </c>
      <c r="L8" s="42">
        <f t="shared" si="5"/>
        <v>7.7999999999999996E-3</v>
      </c>
      <c r="M8" s="12">
        <v>7.3000000000000001E-3</v>
      </c>
      <c r="N8" s="12">
        <v>7.1999999999999998E-3</v>
      </c>
      <c r="O8" s="39">
        <f t="shared" si="6"/>
        <v>-1.0000000000000026E-4</v>
      </c>
      <c r="P8" s="40">
        <f t="shared" si="7"/>
        <v>1.0000000000000026E-4</v>
      </c>
      <c r="Q8" s="41">
        <f t="shared" si="8"/>
        <v>2.9103947659460605E-6</v>
      </c>
      <c r="R8" s="12">
        <v>0</v>
      </c>
      <c r="S8" s="40">
        <f t="shared" si="9"/>
        <v>7.3000000000000001E-3</v>
      </c>
      <c r="T8" s="41">
        <f t="shared" si="10"/>
        <v>2.1245881791406187E-4</v>
      </c>
      <c r="U8" s="42">
        <f t="shared" si="11"/>
        <v>7.1999999999999998E-3</v>
      </c>
      <c r="V8" s="12">
        <v>1.4999999999999999E-2</v>
      </c>
      <c r="W8" s="12">
        <v>1.4E-2</v>
      </c>
      <c r="X8" s="39">
        <f t="shared" si="12"/>
        <v>-9.9999999999999915E-4</v>
      </c>
      <c r="Y8" s="40">
        <f t="shared" si="13"/>
        <v>9.9999999999999915E-4</v>
      </c>
      <c r="Z8" s="41">
        <f t="shared" si="14"/>
        <v>1.7001020061203659E-4</v>
      </c>
      <c r="AA8" s="12">
        <v>0</v>
      </c>
      <c r="AB8" s="40">
        <f t="shared" si="15"/>
        <v>1.4999999999999999E-2</v>
      </c>
      <c r="AC8" s="41">
        <f t="shared" si="16"/>
        <v>2.5501530091805507E-3</v>
      </c>
      <c r="AD8" s="42">
        <f t="shared" si="17"/>
        <v>1.4E-2</v>
      </c>
      <c r="AE8" s="13">
        <f t="shared" si="18"/>
        <v>7.3333333333333323E-4</v>
      </c>
      <c r="AF8" s="40">
        <f t="shared" si="19"/>
        <v>1.04E-2</v>
      </c>
      <c r="AG8" s="43">
        <f t="shared" si="20"/>
        <v>7.9060897085676568E-5</v>
      </c>
    </row>
    <row r="9" spans="1:33" ht="19" customHeight="1" x14ac:dyDescent="0.25">
      <c r="A9" s="2" t="s">
        <v>25</v>
      </c>
      <c r="B9" s="3">
        <v>0</v>
      </c>
      <c r="C9" s="4">
        <v>60</v>
      </c>
      <c r="D9" s="5">
        <v>8.6E-3</v>
      </c>
      <c r="E9" s="5">
        <v>7.7999999999999996E-3</v>
      </c>
      <c r="F9" s="34">
        <f t="shared" si="0"/>
        <v>-8.0000000000000036E-4</v>
      </c>
      <c r="G9" s="35">
        <f t="shared" si="1"/>
        <v>8.0000000000000036E-4</v>
      </c>
      <c r="H9" s="36">
        <f t="shared" si="2"/>
        <v>4.6736069730216062E-5</v>
      </c>
      <c r="I9" s="5">
        <v>0</v>
      </c>
      <c r="J9" s="35">
        <f t="shared" si="3"/>
        <v>8.6E-3</v>
      </c>
      <c r="K9" s="36">
        <f t="shared" si="4"/>
        <v>5.0241274959982236E-4</v>
      </c>
      <c r="L9" s="37">
        <f t="shared" si="5"/>
        <v>7.7999999999999996E-3</v>
      </c>
      <c r="M9" s="5">
        <v>7.3000000000000001E-3</v>
      </c>
      <c r="N9" s="5">
        <v>7.1999999999999998E-3</v>
      </c>
      <c r="O9" s="34">
        <f t="shared" si="6"/>
        <v>-1.0000000000000026E-4</v>
      </c>
      <c r="P9" s="35">
        <f t="shared" si="7"/>
        <v>1.0000000000000026E-4</v>
      </c>
      <c r="Q9" s="36">
        <f t="shared" si="8"/>
        <v>2.9103947659460605E-6</v>
      </c>
      <c r="R9" s="5">
        <v>0</v>
      </c>
      <c r="S9" s="35">
        <f t="shared" si="9"/>
        <v>7.3000000000000001E-3</v>
      </c>
      <c r="T9" s="36">
        <f t="shared" si="10"/>
        <v>2.1245881791406187E-4</v>
      </c>
      <c r="U9" s="37">
        <f t="shared" si="11"/>
        <v>7.1999999999999998E-3</v>
      </c>
      <c r="V9" s="5">
        <v>1.41E-2</v>
      </c>
      <c r="W9" s="5">
        <v>1.4E-2</v>
      </c>
      <c r="X9" s="34">
        <f t="shared" si="12"/>
        <v>-9.9999999999999395E-5</v>
      </c>
      <c r="Y9" s="35">
        <f t="shared" si="13"/>
        <v>9.9999999999999395E-5</v>
      </c>
      <c r="Z9" s="36">
        <f t="shared" si="14"/>
        <v>1.7001020061203572E-5</v>
      </c>
      <c r="AA9" s="5">
        <v>0</v>
      </c>
      <c r="AB9" s="35">
        <f t="shared" si="15"/>
        <v>1.41E-2</v>
      </c>
      <c r="AC9" s="36">
        <f t="shared" si="16"/>
        <v>2.3971438286297178E-3</v>
      </c>
      <c r="AD9" s="37">
        <f t="shared" si="17"/>
        <v>1.4E-2</v>
      </c>
      <c r="AE9" s="6">
        <f t="shared" si="18"/>
        <v>3.3333333333333332E-4</v>
      </c>
      <c r="AF9" s="35">
        <f t="shared" si="19"/>
        <v>0.01</v>
      </c>
      <c r="AG9" s="38">
        <f t="shared" si="20"/>
        <v>2.2215828185788564E-5</v>
      </c>
    </row>
    <row r="10" spans="1:33" ht="19" customHeight="1" x14ac:dyDescent="0.25">
      <c r="A10" s="9" t="s">
        <v>26</v>
      </c>
      <c r="B10" s="10">
        <v>0</v>
      </c>
      <c r="C10" s="11">
        <v>75</v>
      </c>
      <c r="D10" s="12">
        <v>8.6E-3</v>
      </c>
      <c r="E10" s="12">
        <v>7.7999999999999996E-3</v>
      </c>
      <c r="F10" s="39">
        <f t="shared" si="0"/>
        <v>-8.0000000000000036E-4</v>
      </c>
      <c r="G10" s="40">
        <f t="shared" si="1"/>
        <v>8.0000000000000036E-4</v>
      </c>
      <c r="H10" s="41">
        <f t="shared" si="2"/>
        <v>4.6736069730216062E-5</v>
      </c>
      <c r="I10" s="12">
        <v>0</v>
      </c>
      <c r="J10" s="40">
        <f t="shared" si="3"/>
        <v>8.6E-3</v>
      </c>
      <c r="K10" s="41">
        <f t="shared" si="4"/>
        <v>5.0241274959982236E-4</v>
      </c>
      <c r="L10" s="42">
        <f t="shared" si="5"/>
        <v>7.7999999999999996E-3</v>
      </c>
      <c r="M10" s="12">
        <v>7.3000000000000001E-3</v>
      </c>
      <c r="N10" s="12">
        <v>7.1999999999999998E-3</v>
      </c>
      <c r="O10" s="39">
        <f t="shared" si="6"/>
        <v>-1.0000000000000026E-4</v>
      </c>
      <c r="P10" s="40">
        <f t="shared" si="7"/>
        <v>1.0000000000000026E-4</v>
      </c>
      <c r="Q10" s="41">
        <f t="shared" si="8"/>
        <v>2.9103947659460605E-6</v>
      </c>
      <c r="R10" s="12">
        <v>0</v>
      </c>
      <c r="S10" s="40">
        <f t="shared" si="9"/>
        <v>7.3000000000000001E-3</v>
      </c>
      <c r="T10" s="41">
        <f t="shared" si="10"/>
        <v>2.1245881791406187E-4</v>
      </c>
      <c r="U10" s="42">
        <f t="shared" si="11"/>
        <v>7.1999999999999998E-3</v>
      </c>
      <c r="V10" s="12">
        <v>1.41E-2</v>
      </c>
      <c r="W10" s="12">
        <v>1.4E-2</v>
      </c>
      <c r="X10" s="39">
        <f t="shared" si="12"/>
        <v>-9.9999999999999395E-5</v>
      </c>
      <c r="Y10" s="40">
        <f t="shared" si="13"/>
        <v>9.9999999999999395E-5</v>
      </c>
      <c r="Z10" s="41">
        <f t="shared" si="14"/>
        <v>1.7001020061203572E-5</v>
      </c>
      <c r="AA10" s="12">
        <v>0</v>
      </c>
      <c r="AB10" s="40">
        <f t="shared" si="15"/>
        <v>1.41E-2</v>
      </c>
      <c r="AC10" s="41">
        <f t="shared" si="16"/>
        <v>2.3971438286297178E-3</v>
      </c>
      <c r="AD10" s="42">
        <f t="shared" si="17"/>
        <v>1.4E-2</v>
      </c>
      <c r="AE10" s="13">
        <f t="shared" si="18"/>
        <v>3.3333333333333332E-4</v>
      </c>
      <c r="AF10" s="40">
        <f t="shared" si="19"/>
        <v>0.01</v>
      </c>
      <c r="AG10" s="43">
        <f t="shared" si="20"/>
        <v>2.2215828185788564E-5</v>
      </c>
    </row>
    <row r="11" spans="1:33" ht="19" customHeight="1" x14ac:dyDescent="0.25">
      <c r="A11" s="2" t="s">
        <v>27</v>
      </c>
      <c r="B11" s="3">
        <v>0</v>
      </c>
      <c r="C11" s="4">
        <v>90</v>
      </c>
      <c r="D11" s="5">
        <v>8.6E-3</v>
      </c>
      <c r="E11" s="5">
        <v>7.7999999999999996E-3</v>
      </c>
      <c r="F11" s="34">
        <f t="shared" si="0"/>
        <v>-8.0000000000000036E-4</v>
      </c>
      <c r="G11" s="35">
        <f t="shared" si="1"/>
        <v>8.0000000000000036E-4</v>
      </c>
      <c r="H11" s="36">
        <f t="shared" si="2"/>
        <v>4.6736069730216062E-5</v>
      </c>
      <c r="I11" s="5">
        <v>0</v>
      </c>
      <c r="J11" s="35">
        <f t="shared" si="3"/>
        <v>8.6E-3</v>
      </c>
      <c r="K11" s="36">
        <f t="shared" si="4"/>
        <v>5.0241274959982236E-4</v>
      </c>
      <c r="L11" s="37">
        <f t="shared" si="5"/>
        <v>7.7999999999999996E-3</v>
      </c>
      <c r="M11" s="5">
        <v>7.3000000000000001E-3</v>
      </c>
      <c r="N11" s="5">
        <v>7.1999999999999998E-3</v>
      </c>
      <c r="O11" s="34">
        <f t="shared" si="6"/>
        <v>-1.0000000000000026E-4</v>
      </c>
      <c r="P11" s="35">
        <f t="shared" si="7"/>
        <v>1.0000000000000026E-4</v>
      </c>
      <c r="Q11" s="36">
        <f t="shared" si="8"/>
        <v>2.9103947659460605E-6</v>
      </c>
      <c r="R11" s="5">
        <v>0</v>
      </c>
      <c r="S11" s="35">
        <f t="shared" si="9"/>
        <v>7.3000000000000001E-3</v>
      </c>
      <c r="T11" s="36">
        <f t="shared" si="10"/>
        <v>2.1245881791406187E-4</v>
      </c>
      <c r="U11" s="37">
        <f t="shared" si="11"/>
        <v>7.1999999999999998E-3</v>
      </c>
      <c r="V11" s="5">
        <v>1.41E-2</v>
      </c>
      <c r="W11" s="5">
        <v>1.4E-2</v>
      </c>
      <c r="X11" s="34">
        <f t="shared" si="12"/>
        <v>-9.9999999999999395E-5</v>
      </c>
      <c r="Y11" s="35">
        <f t="shared" si="13"/>
        <v>9.9999999999999395E-5</v>
      </c>
      <c r="Z11" s="36">
        <f t="shared" si="14"/>
        <v>1.7001020061203572E-5</v>
      </c>
      <c r="AA11" s="5">
        <v>0</v>
      </c>
      <c r="AB11" s="35">
        <f t="shared" si="15"/>
        <v>1.41E-2</v>
      </c>
      <c r="AC11" s="36">
        <f t="shared" si="16"/>
        <v>2.3971438286297178E-3</v>
      </c>
      <c r="AD11" s="37">
        <f t="shared" si="17"/>
        <v>1.4E-2</v>
      </c>
      <c r="AE11" s="6">
        <f t="shared" si="18"/>
        <v>3.3333333333333332E-4</v>
      </c>
      <c r="AF11" s="35">
        <f t="shared" si="19"/>
        <v>0.01</v>
      </c>
      <c r="AG11" s="38">
        <f t="shared" si="20"/>
        <v>2.2215828185788564E-5</v>
      </c>
    </row>
    <row r="12" spans="1:33" ht="19" customHeight="1" x14ac:dyDescent="0.25">
      <c r="A12" s="9" t="s">
        <v>28</v>
      </c>
      <c r="B12" s="10">
        <v>0.2</v>
      </c>
      <c r="C12" s="11">
        <v>0</v>
      </c>
      <c r="D12" s="12">
        <v>-0.432</v>
      </c>
      <c r="E12" s="12">
        <v>-0.38419999999999999</v>
      </c>
      <c r="F12" s="39">
        <f t="shared" si="0"/>
        <v>4.7800000000000009E-2</v>
      </c>
      <c r="G12" s="40">
        <f t="shared" si="1"/>
        <v>4.7800000000000009E-2</v>
      </c>
      <c r="H12" s="41">
        <f t="shared" si="2"/>
        <v>0.11064814814814818</v>
      </c>
      <c r="I12" s="12">
        <v>-0.1852</v>
      </c>
      <c r="J12" s="40">
        <f t="shared" si="3"/>
        <v>0.24679999999999999</v>
      </c>
      <c r="K12" s="41">
        <f t="shared" si="4"/>
        <v>0.5712962962962963</v>
      </c>
      <c r="L12" s="42">
        <f t="shared" si="5"/>
        <v>0.19899999999999998</v>
      </c>
      <c r="M12" s="12">
        <v>-3.5799999999999998E-2</v>
      </c>
      <c r="N12" s="12">
        <v>-2.86E-2</v>
      </c>
      <c r="O12" s="39">
        <f t="shared" si="6"/>
        <v>7.1999999999999981E-3</v>
      </c>
      <c r="P12" s="40">
        <f t="shared" si="7"/>
        <v>7.1999999999999981E-3</v>
      </c>
      <c r="Q12" s="41">
        <f t="shared" si="8"/>
        <v>2.0954842314811574E-4</v>
      </c>
      <c r="R12" s="12">
        <v>0</v>
      </c>
      <c r="S12" s="40">
        <f t="shared" si="9"/>
        <v>3.5799999999999998E-2</v>
      </c>
      <c r="T12" s="41">
        <f t="shared" si="10"/>
        <v>1.0419213262086869E-3</v>
      </c>
      <c r="U12" s="42">
        <f t="shared" si="11"/>
        <v>2.86E-2</v>
      </c>
      <c r="V12" s="12">
        <v>-2.4500000000000001E-2</v>
      </c>
      <c r="W12" s="12">
        <v>-2.2100000000000002E-2</v>
      </c>
      <c r="X12" s="39">
        <f t="shared" si="12"/>
        <v>2.3999999999999994E-3</v>
      </c>
      <c r="Y12" s="40">
        <f t="shared" si="13"/>
        <v>2.3999999999999994E-3</v>
      </c>
      <c r="Z12" s="41">
        <f t="shared" si="14"/>
        <v>4.0802448146888803E-4</v>
      </c>
      <c r="AA12" s="12">
        <v>0</v>
      </c>
      <c r="AB12" s="40">
        <f t="shared" si="15"/>
        <v>2.4500000000000001E-2</v>
      </c>
      <c r="AC12" s="41">
        <f t="shared" si="16"/>
        <v>4.1652499149949004E-3</v>
      </c>
      <c r="AD12" s="42">
        <f t="shared" si="17"/>
        <v>2.2100000000000002E-2</v>
      </c>
      <c r="AE12" s="13">
        <f t="shared" si="18"/>
        <v>1.9133333333333336E-2</v>
      </c>
      <c r="AF12" s="40">
        <f t="shared" si="19"/>
        <v>0.10236666666666666</v>
      </c>
      <c r="AG12" s="43">
        <f t="shared" si="20"/>
        <v>3.7088573684255062E-2</v>
      </c>
    </row>
    <row r="13" spans="1:33" ht="19" customHeight="1" x14ac:dyDescent="0.25">
      <c r="A13" s="2" t="s">
        <v>29</v>
      </c>
      <c r="B13" s="3">
        <v>0.2</v>
      </c>
      <c r="C13" s="4">
        <v>15</v>
      </c>
      <c r="D13" s="5">
        <v>-0.38400000000000001</v>
      </c>
      <c r="E13" s="5">
        <v>-0.34210000000000002</v>
      </c>
      <c r="F13" s="34">
        <f t="shared" si="0"/>
        <v>4.1899999999999993E-2</v>
      </c>
      <c r="G13" s="35">
        <f t="shared" si="1"/>
        <v>4.1899999999999993E-2</v>
      </c>
      <c r="H13" s="36">
        <f t="shared" si="2"/>
        <v>0.10911458333333331</v>
      </c>
      <c r="I13" s="5">
        <v>-0.1789</v>
      </c>
      <c r="J13" s="35">
        <f t="shared" si="3"/>
        <v>0.2051</v>
      </c>
      <c r="K13" s="36">
        <f t="shared" si="4"/>
        <v>0.53411458333333328</v>
      </c>
      <c r="L13" s="37">
        <f t="shared" si="5"/>
        <v>0.16320000000000001</v>
      </c>
      <c r="M13" s="5">
        <v>-4.6100000000000002E-2</v>
      </c>
      <c r="N13" s="5">
        <v>-4.1200000000000001E-2</v>
      </c>
      <c r="O13" s="34">
        <f t="shared" si="6"/>
        <v>4.9000000000000016E-3</v>
      </c>
      <c r="P13" s="35">
        <f t="shared" si="7"/>
        <v>4.9000000000000016E-3</v>
      </c>
      <c r="Q13" s="36">
        <f t="shared" si="8"/>
        <v>1.4260934353135663E-4</v>
      </c>
      <c r="R13" s="5">
        <v>-3.4500000000000003E-2</v>
      </c>
      <c r="S13" s="35">
        <f t="shared" si="9"/>
        <v>1.1599999999999999E-2</v>
      </c>
      <c r="T13" s="36">
        <f t="shared" si="10"/>
        <v>3.3760579284974212E-4</v>
      </c>
      <c r="U13" s="37">
        <f t="shared" si="11"/>
        <v>6.6999999999999976E-3</v>
      </c>
      <c r="V13" s="5">
        <v>2.2100000000000002E-2</v>
      </c>
      <c r="W13" s="5">
        <v>2.0500000000000001E-2</v>
      </c>
      <c r="X13" s="34">
        <f t="shared" si="12"/>
        <v>-1.6000000000000007E-3</v>
      </c>
      <c r="Y13" s="35">
        <f t="shared" si="13"/>
        <v>1.6000000000000007E-3</v>
      </c>
      <c r="Z13" s="36">
        <f t="shared" si="14"/>
        <v>2.7201632097925888E-4</v>
      </c>
      <c r="AA13" s="5">
        <v>9.1999999999999998E-3</v>
      </c>
      <c r="AB13" s="35">
        <f t="shared" si="15"/>
        <v>1.2900000000000002E-2</v>
      </c>
      <c r="AC13" s="36">
        <f t="shared" si="16"/>
        <v>2.1931315878952742E-3</v>
      </c>
      <c r="AD13" s="37">
        <f t="shared" si="17"/>
        <v>1.1300000000000001E-2</v>
      </c>
      <c r="AE13" s="6">
        <f t="shared" si="18"/>
        <v>1.6133333333333333E-2</v>
      </c>
      <c r="AF13" s="35">
        <f t="shared" si="19"/>
        <v>7.6533333333333328E-2</v>
      </c>
      <c r="AG13" s="38">
        <f t="shared" si="20"/>
        <v>3.6509736332614638E-2</v>
      </c>
    </row>
    <row r="14" spans="1:33" ht="19" customHeight="1" x14ac:dyDescent="0.25">
      <c r="A14" s="9" t="s">
        <v>30</v>
      </c>
      <c r="B14" s="10">
        <v>0.2</v>
      </c>
      <c r="C14" s="11">
        <v>30</v>
      </c>
      <c r="D14" s="12">
        <v>-0.32600000000000001</v>
      </c>
      <c r="E14" s="12">
        <v>-0.28910000000000002</v>
      </c>
      <c r="F14" s="39">
        <f t="shared" si="0"/>
        <v>3.6899999999999988E-2</v>
      </c>
      <c r="G14" s="40">
        <f t="shared" si="1"/>
        <v>3.6899999999999988E-2</v>
      </c>
      <c r="H14" s="41">
        <f t="shared" si="2"/>
        <v>0.11319018404907971</v>
      </c>
      <c r="I14" s="12">
        <v>-0.16039999999999999</v>
      </c>
      <c r="J14" s="40">
        <f t="shared" si="3"/>
        <v>0.16560000000000002</v>
      </c>
      <c r="K14" s="41">
        <f t="shared" si="4"/>
        <v>0.50797546012269945</v>
      </c>
      <c r="L14" s="42">
        <f t="shared" si="5"/>
        <v>0.12870000000000004</v>
      </c>
      <c r="M14" s="12">
        <v>-7.0900000000000005E-2</v>
      </c>
      <c r="N14" s="12">
        <v>-6.54E-2</v>
      </c>
      <c r="O14" s="39">
        <f t="shared" si="6"/>
        <v>5.5000000000000049E-3</v>
      </c>
      <c r="P14" s="40">
        <f t="shared" si="7"/>
        <v>5.5000000000000049E-3</v>
      </c>
      <c r="Q14" s="41">
        <f t="shared" si="8"/>
        <v>7.7574047954866068E-2</v>
      </c>
      <c r="R14" s="12">
        <v>-6.2100000000000002E-2</v>
      </c>
      <c r="S14" s="40">
        <f t="shared" si="9"/>
        <v>8.8000000000000023E-3</v>
      </c>
      <c r="T14" s="41">
        <f t="shared" si="10"/>
        <v>0.12411847672778564</v>
      </c>
      <c r="U14" s="42">
        <f t="shared" si="11"/>
        <v>3.2999999999999974E-3</v>
      </c>
      <c r="V14" s="12">
        <v>7.8600000000000003E-2</v>
      </c>
      <c r="W14" s="12">
        <v>7.2099999999999997E-2</v>
      </c>
      <c r="X14" s="39">
        <f t="shared" si="12"/>
        <v>-6.5000000000000058E-3</v>
      </c>
      <c r="Y14" s="40">
        <f t="shared" si="13"/>
        <v>6.5000000000000058E-3</v>
      </c>
      <c r="Z14" s="41">
        <f t="shared" si="14"/>
        <v>8.2697201017811778E-2</v>
      </c>
      <c r="AA14" s="12">
        <v>1.78E-2</v>
      </c>
      <c r="AB14" s="40">
        <f t="shared" si="15"/>
        <v>6.0800000000000007E-2</v>
      </c>
      <c r="AC14" s="41">
        <f t="shared" si="16"/>
        <v>0.77353689567430028</v>
      </c>
      <c r="AD14" s="42">
        <f t="shared" si="17"/>
        <v>5.4300000000000001E-2</v>
      </c>
      <c r="AE14" s="13">
        <f t="shared" si="18"/>
        <v>1.6299999999999999E-2</v>
      </c>
      <c r="AF14" s="40">
        <f t="shared" si="19"/>
        <v>7.8400000000000011E-2</v>
      </c>
      <c r="AG14" s="43">
        <f t="shared" si="20"/>
        <v>9.1153811007252505E-2</v>
      </c>
    </row>
    <row r="15" spans="1:33" ht="19" customHeight="1" x14ac:dyDescent="0.25">
      <c r="A15" s="2" t="s">
        <v>31</v>
      </c>
      <c r="B15" s="3">
        <v>0.2</v>
      </c>
      <c r="C15" s="4">
        <v>45</v>
      </c>
      <c r="D15" s="5">
        <v>-0.20380000000000001</v>
      </c>
      <c r="E15" s="5">
        <v>-0.19819999999999999</v>
      </c>
      <c r="F15" s="34">
        <f t="shared" si="0"/>
        <v>5.6000000000000216E-3</v>
      </c>
      <c r="G15" s="35">
        <f t="shared" si="1"/>
        <v>5.6000000000000216E-3</v>
      </c>
      <c r="H15" s="36">
        <f t="shared" si="2"/>
        <v>2.7477919528950057E-2</v>
      </c>
      <c r="I15" s="5">
        <v>-0.13100000000000001</v>
      </c>
      <c r="J15" s="35">
        <f t="shared" si="3"/>
        <v>7.2800000000000004E-2</v>
      </c>
      <c r="K15" s="36">
        <f t="shared" si="4"/>
        <v>0.35721295387634938</v>
      </c>
      <c r="L15" s="37">
        <f t="shared" si="5"/>
        <v>6.7199999999999982E-2</v>
      </c>
      <c r="M15" s="5">
        <v>-9.6600000000000005E-2</v>
      </c>
      <c r="N15" s="5">
        <v>-9.01E-2</v>
      </c>
      <c r="O15" s="34">
        <f t="shared" si="6"/>
        <v>6.5000000000000058E-3</v>
      </c>
      <c r="P15" s="35">
        <f t="shared" si="7"/>
        <v>6.5000000000000058E-3</v>
      </c>
      <c r="Q15" s="36">
        <f t="shared" si="8"/>
        <v>6.728778467908908E-2</v>
      </c>
      <c r="R15" s="5">
        <v>-8.8200000000000001E-2</v>
      </c>
      <c r="S15" s="35">
        <f t="shared" si="9"/>
        <v>8.4000000000000047E-3</v>
      </c>
      <c r="T15" s="36">
        <f t="shared" si="10"/>
        <v>8.6956521739130474E-2</v>
      </c>
      <c r="U15" s="37">
        <f t="shared" si="11"/>
        <v>1.8999999999999989E-3</v>
      </c>
      <c r="V15" s="5">
        <v>0.16200000000000001</v>
      </c>
      <c r="W15" s="5">
        <v>0.1542</v>
      </c>
      <c r="X15" s="34">
        <f t="shared" si="12"/>
        <v>-7.8000000000000014E-3</v>
      </c>
      <c r="Y15" s="35">
        <f t="shared" si="13"/>
        <v>7.8000000000000014E-3</v>
      </c>
      <c r="Z15" s="36">
        <f t="shared" si="14"/>
        <v>4.8148148148148155E-2</v>
      </c>
      <c r="AA15" s="5">
        <v>2.5399999999999999E-2</v>
      </c>
      <c r="AB15" s="35">
        <f t="shared" si="15"/>
        <v>0.1366</v>
      </c>
      <c r="AC15" s="36">
        <f t="shared" si="16"/>
        <v>0.84320987654320989</v>
      </c>
      <c r="AD15" s="37">
        <f t="shared" si="17"/>
        <v>0.1288</v>
      </c>
      <c r="AE15" s="6">
        <f t="shared" si="18"/>
        <v>6.6333333333333426E-3</v>
      </c>
      <c r="AF15" s="35">
        <f t="shared" si="19"/>
        <v>7.2599999999999998E-2</v>
      </c>
      <c r="AG15" s="38">
        <f t="shared" si="20"/>
        <v>4.7637950785395761E-2</v>
      </c>
    </row>
    <row r="16" spans="1:33" ht="19" customHeight="1" x14ac:dyDescent="0.25">
      <c r="A16" s="9" t="s">
        <v>32</v>
      </c>
      <c r="B16" s="10">
        <v>0.2</v>
      </c>
      <c r="C16" s="11">
        <v>60</v>
      </c>
      <c r="D16" s="12">
        <v>-9.1399999999999995E-2</v>
      </c>
      <c r="E16" s="12">
        <v>-8.5400000000000004E-2</v>
      </c>
      <c r="F16" s="39">
        <f t="shared" si="0"/>
        <v>5.9999999999999915E-3</v>
      </c>
      <c r="G16" s="40">
        <f t="shared" si="1"/>
        <v>5.9999999999999915E-3</v>
      </c>
      <c r="H16" s="41">
        <f t="shared" si="2"/>
        <v>6.5645514223194659E-2</v>
      </c>
      <c r="I16" s="12">
        <v>-9.2600000000000002E-2</v>
      </c>
      <c r="J16" s="40">
        <f t="shared" si="3"/>
        <v>1.2000000000000066E-3</v>
      </c>
      <c r="K16" s="41">
        <f t="shared" si="4"/>
        <v>1.3129102844639022E-2</v>
      </c>
      <c r="L16" s="42">
        <f t="shared" si="5"/>
        <v>-4.7999999999999848E-3</v>
      </c>
      <c r="M16" s="12">
        <v>-0.1356</v>
      </c>
      <c r="N16" s="12">
        <v>-0.12870000000000001</v>
      </c>
      <c r="O16" s="39">
        <f t="shared" si="6"/>
        <v>6.8999999999999895E-3</v>
      </c>
      <c r="P16" s="40">
        <f t="shared" si="7"/>
        <v>6.8999999999999895E-3</v>
      </c>
      <c r="Q16" s="41">
        <f t="shared" si="8"/>
        <v>5.0884955752212316E-2</v>
      </c>
      <c r="R16" s="12">
        <v>-0.1074</v>
      </c>
      <c r="S16" s="40">
        <f t="shared" si="9"/>
        <v>2.8200000000000003E-2</v>
      </c>
      <c r="T16" s="41">
        <f t="shared" si="10"/>
        <v>0.20796460176991152</v>
      </c>
      <c r="U16" s="42">
        <f t="shared" si="11"/>
        <v>2.1300000000000013E-2</v>
      </c>
      <c r="V16" s="12">
        <v>0.17280000000000001</v>
      </c>
      <c r="W16" s="12">
        <v>0.1651</v>
      </c>
      <c r="X16" s="39">
        <f t="shared" si="12"/>
        <v>-7.7000000000000124E-3</v>
      </c>
      <c r="Y16" s="40">
        <f t="shared" si="13"/>
        <v>7.7000000000000124E-3</v>
      </c>
      <c r="Z16" s="41">
        <f t="shared" si="14"/>
        <v>4.4560185185185251E-2</v>
      </c>
      <c r="AA16" s="12">
        <v>3.0800000000000001E-2</v>
      </c>
      <c r="AB16" s="40">
        <f t="shared" si="15"/>
        <v>0.14200000000000002</v>
      </c>
      <c r="AC16" s="41">
        <f t="shared" si="16"/>
        <v>0.8217592592592593</v>
      </c>
      <c r="AD16" s="42">
        <f t="shared" si="17"/>
        <v>0.1343</v>
      </c>
      <c r="AE16" s="13">
        <f t="shared" si="18"/>
        <v>6.8666666666666641E-3</v>
      </c>
      <c r="AF16" s="40">
        <f t="shared" si="19"/>
        <v>5.7133333333333342E-2</v>
      </c>
      <c r="AG16" s="43">
        <f t="shared" si="20"/>
        <v>5.3696885053530742E-2</v>
      </c>
    </row>
    <row r="17" spans="1:33" ht="19" customHeight="1" x14ac:dyDescent="0.25">
      <c r="A17" s="2" t="s">
        <v>33</v>
      </c>
      <c r="B17" s="3">
        <v>0.2</v>
      </c>
      <c r="C17" s="4">
        <v>75</v>
      </c>
      <c r="D17" s="5">
        <v>1.7100000000000001E-2</v>
      </c>
      <c r="E17" s="5">
        <v>1.2500000000000001E-2</v>
      </c>
      <c r="F17" s="34">
        <f t="shared" si="0"/>
        <v>-4.5999999999999999E-3</v>
      </c>
      <c r="G17" s="35">
        <f t="shared" si="1"/>
        <v>4.5999999999999999E-3</v>
      </c>
      <c r="H17" s="36">
        <f t="shared" si="2"/>
        <v>2.6873240094874219E-4</v>
      </c>
      <c r="I17" s="5">
        <v>-4.7899999999999998E-2</v>
      </c>
      <c r="J17" s="35">
        <f t="shared" si="3"/>
        <v>6.5000000000000002E-2</v>
      </c>
      <c r="K17" s="36">
        <f t="shared" si="4"/>
        <v>3.7973056655800533E-3</v>
      </c>
      <c r="L17" s="37">
        <f t="shared" si="5"/>
        <v>6.0400000000000002E-2</v>
      </c>
      <c r="M17" s="5">
        <v>-0.1729</v>
      </c>
      <c r="N17" s="5">
        <v>-0.16539999999999999</v>
      </c>
      <c r="O17" s="34">
        <f t="shared" si="6"/>
        <v>7.5000000000000067E-3</v>
      </c>
      <c r="P17" s="35">
        <f t="shared" si="7"/>
        <v>7.5000000000000067E-3</v>
      </c>
      <c r="Q17" s="36">
        <f t="shared" si="8"/>
        <v>4.3377674956622363E-2</v>
      </c>
      <c r="R17" s="5">
        <v>-0.12</v>
      </c>
      <c r="S17" s="35">
        <f t="shared" si="9"/>
        <v>5.2900000000000003E-2</v>
      </c>
      <c r="T17" s="36">
        <f t="shared" si="10"/>
        <v>0.30595720069404281</v>
      </c>
      <c r="U17" s="37">
        <f t="shared" si="11"/>
        <v>4.5399999999999996E-2</v>
      </c>
      <c r="V17" s="5">
        <v>0.18709999999999999</v>
      </c>
      <c r="W17" s="5">
        <v>0.17979999999999999</v>
      </c>
      <c r="X17" s="34">
        <f t="shared" si="12"/>
        <v>-7.3000000000000009E-3</v>
      </c>
      <c r="Y17" s="35">
        <f t="shared" si="13"/>
        <v>7.3000000000000009E-3</v>
      </c>
      <c r="Z17" s="36">
        <f t="shared" si="14"/>
        <v>3.9016568679850358E-2</v>
      </c>
      <c r="AA17" s="5">
        <v>3.4099999999999998E-2</v>
      </c>
      <c r="AB17" s="35">
        <f t="shared" si="15"/>
        <v>0.153</v>
      </c>
      <c r="AC17" s="36">
        <f t="shared" si="16"/>
        <v>0.8177445216461785</v>
      </c>
      <c r="AD17" s="37">
        <f t="shared" si="17"/>
        <v>0.1457</v>
      </c>
      <c r="AE17" s="6">
        <f t="shared" si="18"/>
        <v>6.4666666666666692E-3</v>
      </c>
      <c r="AF17" s="35">
        <f t="shared" si="19"/>
        <v>9.0300000000000005E-2</v>
      </c>
      <c r="AG17" s="38">
        <f t="shared" si="20"/>
        <v>2.7554325345807151E-2</v>
      </c>
    </row>
    <row r="18" spans="1:33" ht="19" customHeight="1" x14ac:dyDescent="0.25">
      <c r="A18" s="9" t="s">
        <v>34</v>
      </c>
      <c r="B18" s="10">
        <v>0.2</v>
      </c>
      <c r="C18" s="11">
        <v>90</v>
      </c>
      <c r="D18" s="12">
        <v>0.12889999999999999</v>
      </c>
      <c r="E18" s="12">
        <v>0.1198</v>
      </c>
      <c r="F18" s="39">
        <f t="shared" si="0"/>
        <v>-9.0999999999999831E-3</v>
      </c>
      <c r="G18" s="40">
        <f t="shared" si="1"/>
        <v>9.0999999999999831E-3</v>
      </c>
      <c r="H18" s="41">
        <f t="shared" si="2"/>
        <v>7.0597362296353633E-2</v>
      </c>
      <c r="I18" s="12">
        <v>0</v>
      </c>
      <c r="J18" s="40">
        <f t="shared" si="3"/>
        <v>0.12889999999999999</v>
      </c>
      <c r="K18" s="41">
        <f t="shared" si="4"/>
        <v>1</v>
      </c>
      <c r="L18" s="42">
        <f t="shared" si="5"/>
        <v>0.1198</v>
      </c>
      <c r="M18" s="12">
        <v>-0.1404</v>
      </c>
      <c r="N18" s="12">
        <v>-0.1321</v>
      </c>
      <c r="O18" s="39">
        <f t="shared" si="6"/>
        <v>8.3000000000000018E-3</v>
      </c>
      <c r="P18" s="40">
        <f t="shared" si="7"/>
        <v>8.3000000000000018E-3</v>
      </c>
      <c r="Q18" s="41">
        <f t="shared" si="8"/>
        <v>5.9116809116809131E-2</v>
      </c>
      <c r="R18" s="12">
        <v>-0.1242</v>
      </c>
      <c r="S18" s="40">
        <f t="shared" si="9"/>
        <v>1.6199999999999992E-2</v>
      </c>
      <c r="T18" s="41">
        <f t="shared" si="10"/>
        <v>0.11538461538461534</v>
      </c>
      <c r="U18" s="42">
        <f t="shared" si="11"/>
        <v>7.8999999999999904E-3</v>
      </c>
      <c r="V18" s="12">
        <v>0.25369999999999998</v>
      </c>
      <c r="W18" s="12">
        <v>0.2452</v>
      </c>
      <c r="X18" s="39">
        <f t="shared" si="12"/>
        <v>-8.4999999999999798E-3</v>
      </c>
      <c r="Y18" s="40">
        <f t="shared" si="13"/>
        <v>8.4999999999999798E-3</v>
      </c>
      <c r="Z18" s="41">
        <f t="shared" si="14"/>
        <v>3.350413874655097E-2</v>
      </c>
      <c r="AA18" s="12">
        <v>3.5200000000000002E-2</v>
      </c>
      <c r="AB18" s="40">
        <f t="shared" si="15"/>
        <v>0.21849999999999997</v>
      </c>
      <c r="AC18" s="41">
        <f t="shared" si="16"/>
        <v>0.86125344895545919</v>
      </c>
      <c r="AD18" s="42">
        <f t="shared" si="17"/>
        <v>0.21</v>
      </c>
      <c r="AE18" s="13">
        <f t="shared" si="18"/>
        <v>8.633333333333321E-3</v>
      </c>
      <c r="AF18" s="40">
        <f t="shared" si="19"/>
        <v>0.12119999999999997</v>
      </c>
      <c r="AG18" s="43">
        <f t="shared" si="20"/>
        <v>5.4406103386571252E-2</v>
      </c>
    </row>
    <row r="19" spans="1:33" ht="19" customHeight="1" x14ac:dyDescent="0.25">
      <c r="A19" s="2" t="s">
        <v>35</v>
      </c>
      <c r="B19" s="3">
        <v>0.4</v>
      </c>
      <c r="C19" s="4">
        <v>0</v>
      </c>
      <c r="D19" s="5">
        <v>-0.86170000000000002</v>
      </c>
      <c r="E19" s="5">
        <v>-0.81240000000000001</v>
      </c>
      <c r="F19" s="34">
        <f t="shared" si="0"/>
        <v>4.930000000000001E-2</v>
      </c>
      <c r="G19" s="35">
        <f t="shared" si="1"/>
        <v>4.930000000000001E-2</v>
      </c>
      <c r="H19" s="36">
        <f t="shared" si="2"/>
        <v>5.7212486944412222E-2</v>
      </c>
      <c r="I19" s="5">
        <v>-0.74080000000000001</v>
      </c>
      <c r="J19" s="35">
        <f t="shared" si="3"/>
        <v>0.12090000000000001</v>
      </c>
      <c r="K19" s="36">
        <f t="shared" si="4"/>
        <v>0.14030405013345712</v>
      </c>
      <c r="L19" s="37">
        <f t="shared" si="5"/>
        <v>7.1599999999999997E-2</v>
      </c>
      <c r="M19" s="5">
        <v>-0.1603</v>
      </c>
      <c r="N19" s="5">
        <v>-0.1542</v>
      </c>
      <c r="O19" s="34">
        <f t="shared" si="6"/>
        <v>6.0999999999999943E-3</v>
      </c>
      <c r="P19" s="35">
        <f t="shared" si="7"/>
        <v>6.0999999999999943E-3</v>
      </c>
      <c r="Q19" s="36">
        <f t="shared" si="8"/>
        <v>3.8053649407361161E-2</v>
      </c>
      <c r="R19" s="5">
        <v>0</v>
      </c>
      <c r="S19" s="35">
        <f t="shared" si="9"/>
        <v>0.1603</v>
      </c>
      <c r="T19" s="36">
        <f t="shared" si="10"/>
        <v>1</v>
      </c>
      <c r="U19" s="37">
        <f t="shared" si="11"/>
        <v>0.1542</v>
      </c>
      <c r="V19" s="5">
        <v>-0.1389</v>
      </c>
      <c r="W19" s="5">
        <v>-0.13020000000000001</v>
      </c>
      <c r="X19" s="34">
        <f t="shared" si="12"/>
        <v>8.6999999999999855E-3</v>
      </c>
      <c r="Y19" s="35">
        <f t="shared" si="13"/>
        <v>8.6999999999999855E-3</v>
      </c>
      <c r="Z19" s="36">
        <f t="shared" si="14"/>
        <v>6.2634989200863828E-2</v>
      </c>
      <c r="AA19" s="5">
        <v>0</v>
      </c>
      <c r="AB19" s="35">
        <f t="shared" si="15"/>
        <v>0.1389</v>
      </c>
      <c r="AC19" s="36">
        <f t="shared" si="16"/>
        <v>1</v>
      </c>
      <c r="AD19" s="37">
        <f t="shared" si="17"/>
        <v>0.13020000000000001</v>
      </c>
      <c r="AE19" s="6">
        <f t="shared" si="18"/>
        <v>2.1366666666666662E-2</v>
      </c>
      <c r="AF19" s="35">
        <f t="shared" si="19"/>
        <v>0.14003333333333334</v>
      </c>
      <c r="AG19" s="38">
        <f t="shared" si="20"/>
        <v>5.2633708517545737E-2</v>
      </c>
    </row>
    <row r="20" spans="1:33" ht="19" customHeight="1" x14ac:dyDescent="0.25">
      <c r="A20" s="9" t="s">
        <v>36</v>
      </c>
      <c r="B20" s="10">
        <v>0.4</v>
      </c>
      <c r="C20" s="11">
        <v>15</v>
      </c>
      <c r="D20" s="12">
        <v>-0.86080000000000001</v>
      </c>
      <c r="E20" s="12">
        <v>-0.80420000000000003</v>
      </c>
      <c r="F20" s="39">
        <f t="shared" si="0"/>
        <v>5.6599999999999984E-2</v>
      </c>
      <c r="G20" s="40">
        <f t="shared" si="1"/>
        <v>5.6599999999999984E-2</v>
      </c>
      <c r="H20" s="41">
        <f t="shared" si="2"/>
        <v>6.5752788104089202E-2</v>
      </c>
      <c r="I20" s="12">
        <v>-0.71560000000000001</v>
      </c>
      <c r="J20" s="40">
        <f t="shared" si="3"/>
        <v>0.1452</v>
      </c>
      <c r="K20" s="41">
        <f t="shared" si="4"/>
        <v>0.16868029739776952</v>
      </c>
      <c r="L20" s="42">
        <f t="shared" si="5"/>
        <v>8.8600000000000012E-2</v>
      </c>
      <c r="M20" s="12">
        <v>-0.1069</v>
      </c>
      <c r="N20" s="12">
        <v>-9.8699999999999996E-2</v>
      </c>
      <c r="O20" s="39">
        <f t="shared" si="6"/>
        <v>8.199999999999999E-3</v>
      </c>
      <c r="P20" s="40">
        <f t="shared" si="7"/>
        <v>8.199999999999999E-3</v>
      </c>
      <c r="Q20" s="41">
        <f t="shared" si="8"/>
        <v>7.6707202993451823E-2</v>
      </c>
      <c r="R20" s="12">
        <v>-0.1381</v>
      </c>
      <c r="S20" s="40">
        <f t="shared" si="9"/>
        <v>3.1200000000000006E-2</v>
      </c>
      <c r="T20" s="41">
        <f t="shared" si="10"/>
        <v>0.29186155285313381</v>
      </c>
      <c r="U20" s="42">
        <f t="shared" si="11"/>
        <v>2.3000000000000007E-2</v>
      </c>
      <c r="V20" s="12">
        <v>2.5999999999999999E-2</v>
      </c>
      <c r="W20" s="12">
        <v>2.41E-2</v>
      </c>
      <c r="X20" s="39">
        <f t="shared" si="12"/>
        <v>-1.8999999999999989E-3</v>
      </c>
      <c r="Y20" s="40">
        <f t="shared" si="13"/>
        <v>1.8999999999999989E-3</v>
      </c>
      <c r="Z20" s="41">
        <f t="shared" si="14"/>
        <v>3.2301938116286962E-4</v>
      </c>
      <c r="AA20" s="12">
        <v>3.6999999999999998E-2</v>
      </c>
      <c r="AB20" s="40">
        <f t="shared" si="15"/>
        <v>1.0999999999999999E-2</v>
      </c>
      <c r="AC20" s="41">
        <f t="shared" si="16"/>
        <v>1.8701122067324039E-3</v>
      </c>
      <c r="AD20" s="42">
        <f t="shared" si="17"/>
        <v>9.1000000000000004E-3</v>
      </c>
      <c r="AE20" s="13">
        <f t="shared" si="18"/>
        <v>2.2233333333333327E-2</v>
      </c>
      <c r="AF20" s="40">
        <f t="shared" si="19"/>
        <v>6.246666666666667E-2</v>
      </c>
      <c r="AG20" s="43">
        <f t="shared" si="20"/>
        <v>4.759433682623463E-2</v>
      </c>
    </row>
    <row r="21" spans="1:33" ht="19" customHeight="1" x14ac:dyDescent="0.25">
      <c r="A21" s="2" t="s">
        <v>37</v>
      </c>
      <c r="B21" s="3">
        <v>0.4</v>
      </c>
      <c r="C21" s="4">
        <v>30</v>
      </c>
      <c r="D21" s="5">
        <v>-0.80479999999999996</v>
      </c>
      <c r="E21" s="5">
        <v>-0.75819999999999999</v>
      </c>
      <c r="F21" s="34">
        <f t="shared" si="0"/>
        <v>4.6599999999999975E-2</v>
      </c>
      <c r="G21" s="35">
        <f t="shared" si="1"/>
        <v>4.6599999999999975E-2</v>
      </c>
      <c r="H21" s="36">
        <f t="shared" si="2"/>
        <v>5.7902584493041719E-2</v>
      </c>
      <c r="I21" s="5">
        <v>-0.64149999999999996</v>
      </c>
      <c r="J21" s="35">
        <f t="shared" si="3"/>
        <v>0.1633</v>
      </c>
      <c r="K21" s="36">
        <f t="shared" si="4"/>
        <v>0.20290755467196819</v>
      </c>
      <c r="L21" s="37">
        <f t="shared" si="5"/>
        <v>0.11670000000000003</v>
      </c>
      <c r="M21" s="5">
        <v>-9.2399999999999996E-2</v>
      </c>
      <c r="N21" s="5">
        <v>-8.5400000000000004E-2</v>
      </c>
      <c r="O21" s="34">
        <f t="shared" si="6"/>
        <v>6.9999999999999923E-3</v>
      </c>
      <c r="P21" s="35">
        <f t="shared" si="7"/>
        <v>6.9999999999999923E-3</v>
      </c>
      <c r="Q21" s="36">
        <f t="shared" si="8"/>
        <v>7.5757575757575676E-2</v>
      </c>
      <c r="R21" s="5">
        <v>-0.2482</v>
      </c>
      <c r="S21" s="35">
        <f t="shared" si="9"/>
        <v>0.15579999999999999</v>
      </c>
      <c r="T21" s="36">
        <f t="shared" si="10"/>
        <v>1.6861471861471862</v>
      </c>
      <c r="U21" s="37">
        <f t="shared" si="11"/>
        <v>0.14879999999999999</v>
      </c>
      <c r="V21" s="5">
        <v>0.22020000000000001</v>
      </c>
      <c r="W21" s="5">
        <v>0.2114</v>
      </c>
      <c r="X21" s="34">
        <f t="shared" si="12"/>
        <v>-8.8000000000000023E-3</v>
      </c>
      <c r="Y21" s="35">
        <f t="shared" si="13"/>
        <v>8.8000000000000023E-3</v>
      </c>
      <c r="Z21" s="36">
        <f t="shared" si="14"/>
        <v>3.9963669391462314E-2</v>
      </c>
      <c r="AA21" s="5">
        <v>7.1099999999999997E-2</v>
      </c>
      <c r="AB21" s="35">
        <f t="shared" si="15"/>
        <v>0.14910000000000001</v>
      </c>
      <c r="AC21" s="36">
        <f t="shared" si="16"/>
        <v>0.67711171662125347</v>
      </c>
      <c r="AD21" s="37">
        <f t="shared" si="17"/>
        <v>0.14030000000000001</v>
      </c>
      <c r="AE21" s="6">
        <f t="shared" si="18"/>
        <v>2.0799999999999989E-2</v>
      </c>
      <c r="AF21" s="35">
        <f t="shared" si="19"/>
        <v>0.15606666666666666</v>
      </c>
      <c r="AG21" s="38">
        <f t="shared" si="20"/>
        <v>5.7874609880693234E-2</v>
      </c>
    </row>
    <row r="22" spans="1:33" ht="19" customHeight="1" x14ac:dyDescent="0.25">
      <c r="A22" s="9" t="s">
        <v>38</v>
      </c>
      <c r="B22" s="10">
        <v>0.4</v>
      </c>
      <c r="C22" s="11">
        <v>45</v>
      </c>
      <c r="D22" s="12">
        <v>-0.5786</v>
      </c>
      <c r="E22" s="12">
        <v>-0.54210000000000003</v>
      </c>
      <c r="F22" s="39">
        <f t="shared" si="0"/>
        <v>3.6499999999999977E-2</v>
      </c>
      <c r="G22" s="40">
        <f t="shared" si="1"/>
        <v>3.6499999999999977E-2</v>
      </c>
      <c r="H22" s="41">
        <f t="shared" si="2"/>
        <v>6.3083304528171402E-2</v>
      </c>
      <c r="I22" s="12">
        <v>-0.52380000000000004</v>
      </c>
      <c r="J22" s="40">
        <f t="shared" si="3"/>
        <v>5.479999999999996E-2</v>
      </c>
      <c r="K22" s="41">
        <f t="shared" si="4"/>
        <v>9.4711372277912126E-2</v>
      </c>
      <c r="L22" s="42">
        <f t="shared" si="5"/>
        <v>1.8299999999999983E-2</v>
      </c>
      <c r="M22" s="12">
        <v>-2.8E-3</v>
      </c>
      <c r="N22" s="12">
        <v>-2.0999999999999999E-3</v>
      </c>
      <c r="O22" s="39">
        <f t="shared" si="6"/>
        <v>7.000000000000001E-4</v>
      </c>
      <c r="P22" s="40">
        <f t="shared" si="7"/>
        <v>7.000000000000001E-4</v>
      </c>
      <c r="Q22" s="41">
        <f t="shared" si="8"/>
        <v>2.0372763361622375E-5</v>
      </c>
      <c r="R22" s="12">
        <v>-0.3528</v>
      </c>
      <c r="S22" s="40">
        <f t="shared" si="9"/>
        <v>0.35</v>
      </c>
      <c r="T22" s="41">
        <f t="shared" si="10"/>
        <v>1.0186381680811185E-2</v>
      </c>
      <c r="U22" s="42">
        <f t="shared" si="11"/>
        <v>0.3493</v>
      </c>
      <c r="V22" s="12">
        <v>0.45150000000000001</v>
      </c>
      <c r="W22" s="12">
        <v>0.43980000000000002</v>
      </c>
      <c r="X22" s="39">
        <f t="shared" si="12"/>
        <v>-1.1699999999999988E-2</v>
      </c>
      <c r="Y22" s="40">
        <f t="shared" si="13"/>
        <v>1.1699999999999988E-2</v>
      </c>
      <c r="Z22" s="41">
        <f t="shared" si="14"/>
        <v>2.5913621262458445E-2</v>
      </c>
      <c r="AA22" s="12">
        <v>0.10150000000000001</v>
      </c>
      <c r="AB22" s="40">
        <f t="shared" si="15"/>
        <v>0.35</v>
      </c>
      <c r="AC22" s="41">
        <f t="shared" si="16"/>
        <v>0.77519379844961234</v>
      </c>
      <c r="AD22" s="42">
        <f t="shared" si="17"/>
        <v>0.33829999999999999</v>
      </c>
      <c r="AE22" s="13">
        <f t="shared" si="18"/>
        <v>1.6299999999999988E-2</v>
      </c>
      <c r="AF22" s="40">
        <f t="shared" si="19"/>
        <v>0.25159999999999999</v>
      </c>
      <c r="AG22" s="43">
        <f t="shared" si="20"/>
        <v>2.9672432851330491E-2</v>
      </c>
    </row>
    <row r="23" spans="1:33" ht="19" customHeight="1" x14ac:dyDescent="0.25">
      <c r="A23" s="2" t="s">
        <v>39</v>
      </c>
      <c r="B23" s="3">
        <v>0.4</v>
      </c>
      <c r="C23" s="4">
        <v>60</v>
      </c>
      <c r="D23" s="5">
        <v>-0.27679999999999999</v>
      </c>
      <c r="E23" s="5">
        <v>-0.25890000000000002</v>
      </c>
      <c r="F23" s="34">
        <f t="shared" si="0"/>
        <v>1.7899999999999971E-2</v>
      </c>
      <c r="G23" s="35">
        <f t="shared" si="1"/>
        <v>1.7899999999999971E-2</v>
      </c>
      <c r="H23" s="36">
        <f t="shared" si="2"/>
        <v>6.4667630057803363E-2</v>
      </c>
      <c r="I23" s="5">
        <v>-0.37040000000000001</v>
      </c>
      <c r="J23" s="35">
        <f t="shared" si="3"/>
        <v>9.3600000000000017E-2</v>
      </c>
      <c r="K23" s="36">
        <f t="shared" si="4"/>
        <v>0.33815028901734112</v>
      </c>
      <c r="L23" s="37">
        <f t="shared" si="5"/>
        <v>7.5700000000000045E-2</v>
      </c>
      <c r="M23" s="5">
        <v>-2.6700000000000002E-2</v>
      </c>
      <c r="N23" s="5">
        <v>-2.1399999999999999E-2</v>
      </c>
      <c r="O23" s="34">
        <f t="shared" si="6"/>
        <v>5.3000000000000026E-3</v>
      </c>
      <c r="P23" s="35">
        <f t="shared" si="7"/>
        <v>5.3000000000000026E-3</v>
      </c>
      <c r="Q23" s="36">
        <f t="shared" si="8"/>
        <v>1.5425092259514089E-4</v>
      </c>
      <c r="R23" s="5">
        <v>-0.42949999999999999</v>
      </c>
      <c r="S23" s="35">
        <f t="shared" si="9"/>
        <v>0.40279999999999999</v>
      </c>
      <c r="T23" s="36">
        <f t="shared" si="10"/>
        <v>1.1723070117230701E-2</v>
      </c>
      <c r="U23" s="37">
        <f t="shared" si="11"/>
        <v>0.39749999999999996</v>
      </c>
      <c r="V23" s="5">
        <v>0.56930000000000003</v>
      </c>
      <c r="W23" s="5">
        <v>0.55410000000000004</v>
      </c>
      <c r="X23" s="34">
        <f t="shared" si="12"/>
        <v>-1.5199999999999991E-2</v>
      </c>
      <c r="Y23" s="35">
        <f t="shared" si="13"/>
        <v>1.5199999999999991E-2</v>
      </c>
      <c r="Z23" s="36">
        <f t="shared" si="14"/>
        <v>2.669945547163181E-2</v>
      </c>
      <c r="AA23" s="5">
        <v>0.1232</v>
      </c>
      <c r="AB23" s="35">
        <f t="shared" si="15"/>
        <v>0.44610000000000005</v>
      </c>
      <c r="AC23" s="36">
        <f t="shared" si="16"/>
        <v>0.78359388722993151</v>
      </c>
      <c r="AD23" s="37">
        <f t="shared" si="17"/>
        <v>0.43090000000000006</v>
      </c>
      <c r="AE23" s="6">
        <f t="shared" si="18"/>
        <v>1.2799999999999987E-2</v>
      </c>
      <c r="AF23" s="35">
        <f t="shared" si="19"/>
        <v>0.31416666666666671</v>
      </c>
      <c r="AG23" s="38">
        <f t="shared" si="20"/>
        <v>3.0507112150676776E-2</v>
      </c>
    </row>
    <row r="24" spans="1:33" ht="19" customHeight="1" x14ac:dyDescent="0.25">
      <c r="A24" s="9" t="s">
        <v>40</v>
      </c>
      <c r="B24" s="10">
        <v>0.4</v>
      </c>
      <c r="C24" s="11">
        <v>75</v>
      </c>
      <c r="D24" s="12">
        <v>7.0499999999999993E-2</v>
      </c>
      <c r="E24" s="12">
        <v>6.5199999999999994E-2</v>
      </c>
      <c r="F24" s="39">
        <f t="shared" si="0"/>
        <v>-5.2999999999999992E-3</v>
      </c>
      <c r="G24" s="40">
        <f t="shared" si="1"/>
        <v>5.2999999999999992E-3</v>
      </c>
      <c r="H24" s="41">
        <f t="shared" si="2"/>
        <v>7.5177304964539005E-2</v>
      </c>
      <c r="I24" s="12">
        <v>-0.19170000000000001</v>
      </c>
      <c r="J24" s="40">
        <f t="shared" si="3"/>
        <v>0.26219999999999999</v>
      </c>
      <c r="K24" s="41">
        <f t="shared" si="4"/>
        <v>3.719148936170213</v>
      </c>
      <c r="L24" s="42">
        <f t="shared" si="5"/>
        <v>0.25690000000000002</v>
      </c>
      <c r="M24" s="12">
        <v>-7.2400000000000006E-2</v>
      </c>
      <c r="N24" s="12">
        <v>-6.8699999999999997E-2</v>
      </c>
      <c r="O24" s="39">
        <f t="shared" si="6"/>
        <v>3.7000000000000088E-3</v>
      </c>
      <c r="P24" s="40">
        <f t="shared" si="7"/>
        <v>3.7000000000000088E-3</v>
      </c>
      <c r="Q24" s="41">
        <f t="shared" si="8"/>
        <v>5.1104972375690727E-2</v>
      </c>
      <c r="R24" s="12">
        <v>-0.4798</v>
      </c>
      <c r="S24" s="40">
        <f t="shared" si="9"/>
        <v>0.40739999999999998</v>
      </c>
      <c r="T24" s="41">
        <f t="shared" si="10"/>
        <v>5.6270718232044192</v>
      </c>
      <c r="U24" s="42">
        <f t="shared" si="11"/>
        <v>0.40369999999999995</v>
      </c>
      <c r="V24" s="12">
        <v>0.66210000000000002</v>
      </c>
      <c r="W24" s="12">
        <v>0.64870000000000005</v>
      </c>
      <c r="X24" s="39">
        <f t="shared" si="12"/>
        <v>-1.3399999999999967E-2</v>
      </c>
      <c r="Y24" s="40">
        <f t="shared" si="13"/>
        <v>1.3399999999999967E-2</v>
      </c>
      <c r="Z24" s="41">
        <f t="shared" si="14"/>
        <v>2.0238634647334188E-2</v>
      </c>
      <c r="AA24" s="12">
        <v>0.13639999999999999</v>
      </c>
      <c r="AB24" s="40">
        <f t="shared" si="15"/>
        <v>0.52570000000000006</v>
      </c>
      <c r="AC24" s="41">
        <f t="shared" si="16"/>
        <v>0.79398882344056798</v>
      </c>
      <c r="AD24" s="42">
        <f t="shared" si="17"/>
        <v>0.51230000000000009</v>
      </c>
      <c r="AE24" s="13">
        <f t="shared" si="18"/>
        <v>7.4666666666666588E-3</v>
      </c>
      <c r="AF24" s="40">
        <f t="shared" si="19"/>
        <v>0.39843333333333336</v>
      </c>
      <c r="AG24" s="43">
        <f t="shared" si="20"/>
        <v>4.8840303995854643E-2</v>
      </c>
    </row>
    <row r="25" spans="1:33" ht="19" customHeight="1" x14ac:dyDescent="0.25">
      <c r="A25" s="2" t="s">
        <v>41</v>
      </c>
      <c r="B25" s="3">
        <v>0.4</v>
      </c>
      <c r="C25" s="4">
        <v>90</v>
      </c>
      <c r="D25" s="5">
        <v>0.26340000000000002</v>
      </c>
      <c r="E25" s="5">
        <v>0.25119999999999998</v>
      </c>
      <c r="F25" s="34">
        <f t="shared" si="0"/>
        <v>-1.2200000000000044E-2</v>
      </c>
      <c r="G25" s="35">
        <f t="shared" si="1"/>
        <v>1.2200000000000044E-2</v>
      </c>
      <c r="H25" s="36">
        <f t="shared" si="2"/>
        <v>4.631738800303737E-2</v>
      </c>
      <c r="I25" s="5">
        <v>0</v>
      </c>
      <c r="J25" s="35">
        <f t="shared" si="3"/>
        <v>0.26340000000000002</v>
      </c>
      <c r="K25" s="36">
        <f t="shared" si="4"/>
        <v>1</v>
      </c>
      <c r="L25" s="37">
        <f t="shared" si="5"/>
        <v>0.25119999999999998</v>
      </c>
      <c r="M25" s="5">
        <v>-9.4E-2</v>
      </c>
      <c r="N25" s="5">
        <v>-8.8700000000000001E-2</v>
      </c>
      <c r="O25" s="34">
        <f t="shared" si="6"/>
        <v>5.2999999999999992E-3</v>
      </c>
      <c r="P25" s="35">
        <f t="shared" si="7"/>
        <v>5.2999999999999992E-3</v>
      </c>
      <c r="Q25" s="36">
        <f t="shared" si="8"/>
        <v>5.6382978723404246E-2</v>
      </c>
      <c r="R25" s="5">
        <v>-0.49680000000000002</v>
      </c>
      <c r="S25" s="35">
        <f t="shared" si="9"/>
        <v>0.40280000000000005</v>
      </c>
      <c r="T25" s="36">
        <f t="shared" si="10"/>
        <v>4.2851063829787241</v>
      </c>
      <c r="U25" s="37">
        <f t="shared" si="11"/>
        <v>0.39750000000000008</v>
      </c>
      <c r="V25" s="5">
        <v>0.75790000000000002</v>
      </c>
      <c r="W25" s="5">
        <v>0.74119999999999997</v>
      </c>
      <c r="X25" s="34">
        <f t="shared" si="12"/>
        <v>-1.6700000000000048E-2</v>
      </c>
      <c r="Y25" s="35">
        <f t="shared" si="13"/>
        <v>1.6700000000000048E-2</v>
      </c>
      <c r="Z25" s="36">
        <f t="shared" si="14"/>
        <v>2.2034569204380589E-2</v>
      </c>
      <c r="AA25" s="5">
        <v>0.14080000000000001</v>
      </c>
      <c r="AB25" s="35">
        <f t="shared" si="15"/>
        <v>0.61709999999999998</v>
      </c>
      <c r="AC25" s="36">
        <f t="shared" si="16"/>
        <v>0.81422351233671986</v>
      </c>
      <c r="AD25" s="37">
        <f t="shared" si="17"/>
        <v>0.60039999999999993</v>
      </c>
      <c r="AE25" s="6">
        <f t="shared" si="18"/>
        <v>1.140000000000003E-2</v>
      </c>
      <c r="AF25" s="35">
        <f t="shared" si="19"/>
        <v>0.42776666666666668</v>
      </c>
      <c r="AG25" s="38">
        <f t="shared" si="20"/>
        <v>4.1578311976940736E-2</v>
      </c>
    </row>
    <row r="26" spans="1:33" ht="19" customHeight="1" x14ac:dyDescent="0.25">
      <c r="A26" s="9" t="s">
        <v>42</v>
      </c>
      <c r="B26" s="10">
        <v>0.6</v>
      </c>
      <c r="C26" s="11">
        <v>0</v>
      </c>
      <c r="D26" s="12">
        <v>-1.425</v>
      </c>
      <c r="E26" s="12">
        <v>-1.3653999999999999</v>
      </c>
      <c r="F26" s="39">
        <f t="shared" si="0"/>
        <v>5.9600000000000097E-2</v>
      </c>
      <c r="G26" s="40">
        <f t="shared" si="1"/>
        <v>5.9600000000000097E-2</v>
      </c>
      <c r="H26" s="41">
        <f t="shared" si="2"/>
        <v>4.1824561403508841E-2</v>
      </c>
      <c r="I26" s="12">
        <v>-1.6668000000000001</v>
      </c>
      <c r="J26" s="40">
        <f t="shared" si="3"/>
        <v>0.24180000000000001</v>
      </c>
      <c r="K26" s="41">
        <f t="shared" si="4"/>
        <v>0.1696842105263158</v>
      </c>
      <c r="L26" s="42">
        <f t="shared" si="5"/>
        <v>0.18219999999999992</v>
      </c>
      <c r="M26" s="12">
        <v>-0.32740000000000002</v>
      </c>
      <c r="N26" s="12">
        <v>-0.31209999999999999</v>
      </c>
      <c r="O26" s="39">
        <f t="shared" si="6"/>
        <v>1.5300000000000036E-2</v>
      </c>
      <c r="P26" s="40">
        <f t="shared" si="7"/>
        <v>1.5300000000000036E-2</v>
      </c>
      <c r="Q26" s="41">
        <f t="shared" si="8"/>
        <v>4.6731826511912142E-2</v>
      </c>
      <c r="R26" s="12">
        <v>0</v>
      </c>
      <c r="S26" s="40">
        <f t="shared" si="9"/>
        <v>0.32740000000000002</v>
      </c>
      <c r="T26" s="41">
        <f t="shared" si="10"/>
        <v>1</v>
      </c>
      <c r="U26" s="42">
        <f t="shared" si="11"/>
        <v>0.31209999999999999</v>
      </c>
      <c r="V26" s="12">
        <v>-0.22439999999999999</v>
      </c>
      <c r="W26" s="12">
        <v>-0.2145</v>
      </c>
      <c r="X26" s="39">
        <f t="shared" si="12"/>
        <v>9.8999999999999921E-3</v>
      </c>
      <c r="Y26" s="40">
        <f t="shared" si="13"/>
        <v>9.8999999999999921E-3</v>
      </c>
      <c r="Z26" s="41">
        <f t="shared" si="14"/>
        <v>4.4117647058823498E-2</v>
      </c>
      <c r="AA26" s="12">
        <v>0</v>
      </c>
      <c r="AB26" s="40">
        <f t="shared" si="15"/>
        <v>0.22439999999999999</v>
      </c>
      <c r="AC26" s="41">
        <f t="shared" si="16"/>
        <v>1</v>
      </c>
      <c r="AD26" s="42">
        <f t="shared" si="17"/>
        <v>0.2145</v>
      </c>
      <c r="AE26" s="13">
        <f t="shared" si="18"/>
        <v>2.8266666666666707E-2</v>
      </c>
      <c r="AF26" s="40">
        <f t="shared" si="19"/>
        <v>0.26453333333333334</v>
      </c>
      <c r="AG26" s="43">
        <f t="shared" si="20"/>
        <v>4.4224678324748155E-2</v>
      </c>
    </row>
    <row r="27" spans="1:33" ht="19" customHeight="1" x14ac:dyDescent="0.25">
      <c r="A27" s="2" t="s">
        <v>43</v>
      </c>
      <c r="B27" s="3">
        <v>0.6</v>
      </c>
      <c r="C27" s="4">
        <v>15</v>
      </c>
      <c r="D27" s="5">
        <v>-1.4419999999999999</v>
      </c>
      <c r="E27" s="5">
        <v>-1.3852</v>
      </c>
      <c r="F27" s="34">
        <f t="shared" si="0"/>
        <v>5.6799999999999962E-2</v>
      </c>
      <c r="G27" s="35">
        <f t="shared" si="1"/>
        <v>5.6799999999999962E-2</v>
      </c>
      <c r="H27" s="36">
        <f t="shared" si="2"/>
        <v>3.9389736477115092E-2</v>
      </c>
      <c r="I27" s="5">
        <v>-1.61</v>
      </c>
      <c r="J27" s="35">
        <f t="shared" si="3"/>
        <v>0.16800000000000015</v>
      </c>
      <c r="K27" s="36">
        <f t="shared" si="4"/>
        <v>0.11650485436893214</v>
      </c>
      <c r="L27" s="37">
        <f t="shared" si="5"/>
        <v>0.11120000000000019</v>
      </c>
      <c r="M27" s="5">
        <v>-0.18440000000000001</v>
      </c>
      <c r="N27" s="5">
        <v>-0.17419999999999999</v>
      </c>
      <c r="O27" s="34">
        <f t="shared" si="6"/>
        <v>1.0200000000000015E-2</v>
      </c>
      <c r="P27" s="35">
        <f t="shared" si="7"/>
        <v>1.0200000000000015E-2</v>
      </c>
      <c r="Q27" s="36">
        <f t="shared" si="8"/>
        <v>5.5314533622559732E-2</v>
      </c>
      <c r="R27" s="5">
        <v>-0.31059999999999999</v>
      </c>
      <c r="S27" s="35">
        <f t="shared" si="9"/>
        <v>0.12619999999999998</v>
      </c>
      <c r="T27" s="36">
        <f t="shared" si="10"/>
        <v>0.68438177874186534</v>
      </c>
      <c r="U27" s="37">
        <f t="shared" si="11"/>
        <v>0.11599999999999996</v>
      </c>
      <c r="V27" s="5">
        <v>3.5700000000000003E-2</v>
      </c>
      <c r="W27" s="5">
        <v>3.4099999999999998E-2</v>
      </c>
      <c r="X27" s="34">
        <f t="shared" si="12"/>
        <v>-1.6000000000000042E-3</v>
      </c>
      <c r="Y27" s="35">
        <f t="shared" si="13"/>
        <v>1.6000000000000042E-3</v>
      </c>
      <c r="Z27" s="36">
        <f t="shared" si="14"/>
        <v>2.7201632097925948E-4</v>
      </c>
      <c r="AA27" s="5">
        <v>8.3199999999999996E-2</v>
      </c>
      <c r="AB27" s="35">
        <f t="shared" si="15"/>
        <v>4.7499999999999994E-2</v>
      </c>
      <c r="AC27" s="36">
        <f t="shared" si="16"/>
        <v>8.0754845290717438E-3</v>
      </c>
      <c r="AD27" s="37">
        <f t="shared" si="17"/>
        <v>4.5899999999999989E-2</v>
      </c>
      <c r="AE27" s="6">
        <f t="shared" si="18"/>
        <v>2.286666666666666E-2</v>
      </c>
      <c r="AF27" s="35">
        <f t="shared" si="19"/>
        <v>0.11390000000000004</v>
      </c>
      <c r="AG27" s="38">
        <f t="shared" si="20"/>
        <v>3.1658762140218032E-2</v>
      </c>
    </row>
    <row r="28" spans="1:33" ht="19" customHeight="1" x14ac:dyDescent="0.25">
      <c r="A28" s="9" t="s">
        <v>44</v>
      </c>
      <c r="B28" s="10">
        <v>0.6</v>
      </c>
      <c r="C28" s="11">
        <v>30</v>
      </c>
      <c r="D28" s="12">
        <v>-1.2923</v>
      </c>
      <c r="E28" s="12">
        <v>-1.2412000000000001</v>
      </c>
      <c r="F28" s="39">
        <f t="shared" si="0"/>
        <v>5.1099999999999923E-2</v>
      </c>
      <c r="G28" s="40">
        <f t="shared" si="1"/>
        <v>5.1099999999999923E-2</v>
      </c>
      <c r="H28" s="41">
        <f t="shared" si="2"/>
        <v>3.9541902035131103E-2</v>
      </c>
      <c r="I28" s="12">
        <v>-1.4435</v>
      </c>
      <c r="J28" s="40">
        <f t="shared" si="3"/>
        <v>0.1512</v>
      </c>
      <c r="K28" s="41">
        <f t="shared" si="4"/>
        <v>0.11700069643271686</v>
      </c>
      <c r="L28" s="42">
        <f t="shared" si="5"/>
        <v>0.10010000000000008</v>
      </c>
      <c r="M28" s="12">
        <v>-8.4699999999999998E-2</v>
      </c>
      <c r="N28" s="12">
        <v>-7.8899999999999998E-2</v>
      </c>
      <c r="O28" s="39">
        <f t="shared" si="6"/>
        <v>5.7999999999999996E-3</v>
      </c>
      <c r="P28" s="40">
        <f t="shared" si="7"/>
        <v>5.7999999999999996E-3</v>
      </c>
      <c r="Q28" s="41">
        <f t="shared" si="8"/>
        <v>6.8476977567886663E-2</v>
      </c>
      <c r="R28" s="12">
        <v>-0.5585</v>
      </c>
      <c r="S28" s="40">
        <f t="shared" si="9"/>
        <v>0.4738</v>
      </c>
      <c r="T28" s="41">
        <f t="shared" si="10"/>
        <v>5.5938606847697763</v>
      </c>
      <c r="U28" s="42">
        <f t="shared" si="11"/>
        <v>0.46799999999999997</v>
      </c>
      <c r="V28" s="12">
        <v>0.3851</v>
      </c>
      <c r="W28" s="12">
        <v>0.37209999999999999</v>
      </c>
      <c r="X28" s="39">
        <f t="shared" si="12"/>
        <v>-1.3000000000000012E-2</v>
      </c>
      <c r="Y28" s="40">
        <f t="shared" si="13"/>
        <v>1.3000000000000012E-2</v>
      </c>
      <c r="Z28" s="41">
        <f t="shared" si="14"/>
        <v>3.3757465593352409E-2</v>
      </c>
      <c r="AA28" s="12">
        <v>0.16</v>
      </c>
      <c r="AB28" s="40">
        <f t="shared" si="15"/>
        <v>0.22509999999999999</v>
      </c>
      <c r="AC28" s="41">
        <f t="shared" si="16"/>
        <v>0.58452350038950918</v>
      </c>
      <c r="AD28" s="42">
        <f t="shared" si="17"/>
        <v>0.21209999999999998</v>
      </c>
      <c r="AE28" s="13">
        <f t="shared" si="18"/>
        <v>2.3299999999999977E-2</v>
      </c>
      <c r="AF28" s="40">
        <f t="shared" si="19"/>
        <v>0.28336666666666666</v>
      </c>
      <c r="AG28" s="43">
        <f t="shared" si="20"/>
        <v>4.7258781732123389E-2</v>
      </c>
    </row>
    <row r="29" spans="1:33" ht="19" customHeight="1" x14ac:dyDescent="0.25">
      <c r="A29" s="2" t="s">
        <v>45</v>
      </c>
      <c r="B29" s="3">
        <v>0.6</v>
      </c>
      <c r="C29" s="4">
        <v>45</v>
      </c>
      <c r="D29" s="5">
        <v>-1.6036999999999999</v>
      </c>
      <c r="E29" s="5">
        <v>-1.5214000000000001</v>
      </c>
      <c r="F29" s="34">
        <f t="shared" si="0"/>
        <v>8.2299999999999818E-2</v>
      </c>
      <c r="G29" s="35">
        <f t="shared" si="1"/>
        <v>8.2299999999999818E-2</v>
      </c>
      <c r="H29" s="36">
        <f t="shared" si="2"/>
        <v>5.1318825216686299E-2</v>
      </c>
      <c r="I29" s="5">
        <v>-1.1786000000000001</v>
      </c>
      <c r="J29" s="35">
        <f t="shared" si="3"/>
        <v>0.42509999999999981</v>
      </c>
      <c r="K29" s="36">
        <f t="shared" si="4"/>
        <v>0.26507451518363773</v>
      </c>
      <c r="L29" s="37">
        <f t="shared" si="5"/>
        <v>0.34279999999999999</v>
      </c>
      <c r="M29" s="5">
        <v>-2.9426999999999999</v>
      </c>
      <c r="N29" s="5">
        <v>-2.8540999999999999</v>
      </c>
      <c r="O29" s="34">
        <f t="shared" si="6"/>
        <v>8.8600000000000012E-2</v>
      </c>
      <c r="P29" s="35">
        <f t="shared" si="7"/>
        <v>8.8600000000000012E-2</v>
      </c>
      <c r="Q29" s="36">
        <f t="shared" si="8"/>
        <v>3.0108403846807359E-2</v>
      </c>
      <c r="R29" s="5">
        <v>-0.79379999999999995</v>
      </c>
      <c r="S29" s="35">
        <f t="shared" si="9"/>
        <v>2.1488999999999998</v>
      </c>
      <c r="T29" s="36">
        <f t="shared" si="10"/>
        <v>0.73024773167499235</v>
      </c>
      <c r="U29" s="37">
        <f t="shared" si="11"/>
        <v>2.0602999999999998</v>
      </c>
      <c r="V29" s="5">
        <v>-1.6558999999999999</v>
      </c>
      <c r="W29" s="5">
        <v>-1.5982000000000001</v>
      </c>
      <c r="X29" s="34">
        <f t="shared" si="12"/>
        <v>5.7699999999999863E-2</v>
      </c>
      <c r="Y29" s="35">
        <f t="shared" si="13"/>
        <v>5.7699999999999863E-2</v>
      </c>
      <c r="Z29" s="36">
        <f t="shared" si="14"/>
        <v>3.4845099341747607E-2</v>
      </c>
      <c r="AA29" s="5">
        <v>0.22839999999999999</v>
      </c>
      <c r="AB29" s="35">
        <f t="shared" si="15"/>
        <v>1.8842999999999999</v>
      </c>
      <c r="AC29" s="36">
        <f t="shared" si="16"/>
        <v>1.1379310344827587</v>
      </c>
      <c r="AD29" s="37">
        <f t="shared" si="17"/>
        <v>1.8266</v>
      </c>
      <c r="AE29" s="6">
        <f t="shared" si="18"/>
        <v>7.6199999999999893E-2</v>
      </c>
      <c r="AF29" s="35">
        <f t="shared" si="19"/>
        <v>1.4860999999999998</v>
      </c>
      <c r="AG29" s="38">
        <f t="shared" si="20"/>
        <v>3.8757442801747088E-2</v>
      </c>
    </row>
    <row r="30" spans="1:33" ht="19" customHeight="1" x14ac:dyDescent="0.25">
      <c r="A30" s="9" t="s">
        <v>46</v>
      </c>
      <c r="B30" s="10">
        <v>0.6</v>
      </c>
      <c r="C30" s="11">
        <v>60</v>
      </c>
      <c r="D30" s="12">
        <v>2.0548000000000002</v>
      </c>
      <c r="E30" s="12">
        <v>1.9821</v>
      </c>
      <c r="F30" s="39">
        <f t="shared" si="0"/>
        <v>-7.2700000000000209E-2</v>
      </c>
      <c r="G30" s="40">
        <f t="shared" si="1"/>
        <v>7.2700000000000209E-2</v>
      </c>
      <c r="H30" s="41">
        <f t="shared" si="2"/>
        <v>3.5380572318473913E-2</v>
      </c>
      <c r="I30" s="12">
        <v>-0.83340000000000003</v>
      </c>
      <c r="J30" s="40">
        <f t="shared" si="3"/>
        <v>2.8882000000000003</v>
      </c>
      <c r="K30" s="41">
        <f t="shared" si="4"/>
        <v>1.4055869184348841</v>
      </c>
      <c r="L30" s="42">
        <f t="shared" si="5"/>
        <v>2.8155000000000001</v>
      </c>
      <c r="M30" s="12">
        <v>-10.639699999999999</v>
      </c>
      <c r="N30" s="12">
        <v>-9.8542000000000005</v>
      </c>
      <c r="O30" s="39">
        <f t="shared" si="6"/>
        <v>0.78549999999999898</v>
      </c>
      <c r="P30" s="40">
        <f t="shared" si="7"/>
        <v>0.78549999999999898</v>
      </c>
      <c r="Q30" s="41">
        <f t="shared" si="8"/>
        <v>7.3827269565871129E-2</v>
      </c>
      <c r="R30" s="12">
        <v>-0.96640000000000004</v>
      </c>
      <c r="S30" s="40">
        <f t="shared" si="9"/>
        <v>9.6732999999999993</v>
      </c>
      <c r="T30" s="41">
        <f t="shared" si="10"/>
        <v>0.90917037134505674</v>
      </c>
      <c r="U30" s="42">
        <f t="shared" si="11"/>
        <v>8.8878000000000004</v>
      </c>
      <c r="V30" s="12">
        <v>-0.63200000000000001</v>
      </c>
      <c r="W30" s="12">
        <v>-0.61019999999999996</v>
      </c>
      <c r="X30" s="39">
        <f t="shared" si="12"/>
        <v>2.1800000000000042E-2</v>
      </c>
      <c r="Y30" s="40">
        <f t="shared" si="13"/>
        <v>2.1800000000000042E-2</v>
      </c>
      <c r="Z30" s="41">
        <f t="shared" si="14"/>
        <v>3.4493670886076015E-2</v>
      </c>
      <c r="AA30" s="12">
        <v>0.2772</v>
      </c>
      <c r="AB30" s="40">
        <f t="shared" si="15"/>
        <v>0.90920000000000001</v>
      </c>
      <c r="AC30" s="41">
        <f t="shared" si="16"/>
        <v>1.4386075949367088</v>
      </c>
      <c r="AD30" s="42">
        <f t="shared" si="17"/>
        <v>0.88739999999999997</v>
      </c>
      <c r="AE30" s="13">
        <f t="shared" si="18"/>
        <v>0.29333333333333306</v>
      </c>
      <c r="AF30" s="40">
        <f t="shared" si="19"/>
        <v>4.4902333333333333</v>
      </c>
      <c r="AG30" s="43">
        <f t="shared" si="20"/>
        <v>4.7900504256807024E-2</v>
      </c>
    </row>
    <row r="31" spans="1:33" ht="19" customHeight="1" x14ac:dyDescent="0.25">
      <c r="A31" s="2" t="s">
        <v>47</v>
      </c>
      <c r="B31" s="3">
        <v>0.6</v>
      </c>
      <c r="C31" s="4">
        <v>75</v>
      </c>
      <c r="D31" s="5">
        <v>-9.7000000000000003E-3</v>
      </c>
      <c r="E31" s="5">
        <v>-8.3999999999999995E-3</v>
      </c>
      <c r="F31" s="34">
        <f t="shared" si="0"/>
        <v>1.3000000000000008E-3</v>
      </c>
      <c r="G31" s="35">
        <f t="shared" si="1"/>
        <v>1.3000000000000008E-3</v>
      </c>
      <c r="H31" s="36">
        <f t="shared" si="2"/>
        <v>7.5946113311601104E-5</v>
      </c>
      <c r="I31" s="5">
        <v>-0.43140000000000001</v>
      </c>
      <c r="J31" s="35">
        <f t="shared" si="3"/>
        <v>0.42170000000000002</v>
      </c>
      <c r="K31" s="36">
        <f t="shared" si="4"/>
        <v>2.4635750756540131E-2</v>
      </c>
      <c r="L31" s="37">
        <f t="shared" si="5"/>
        <v>0.4204</v>
      </c>
      <c r="M31" s="5">
        <v>8.1900000000000001E-2</v>
      </c>
      <c r="N31" s="5">
        <v>7.6499999999999999E-2</v>
      </c>
      <c r="O31" s="34">
        <f t="shared" si="6"/>
        <v>-5.400000000000002E-3</v>
      </c>
      <c r="P31" s="35">
        <f t="shared" si="7"/>
        <v>5.400000000000002E-3</v>
      </c>
      <c r="Q31" s="36">
        <f t="shared" si="8"/>
        <v>6.5934065934065963E-2</v>
      </c>
      <c r="R31" s="5">
        <v>-1.0795999999999999</v>
      </c>
      <c r="S31" s="35">
        <f t="shared" si="9"/>
        <v>1.1615</v>
      </c>
      <c r="T31" s="36">
        <f t="shared" si="10"/>
        <v>14.181929181929181</v>
      </c>
      <c r="U31" s="37">
        <f t="shared" si="11"/>
        <v>1.1560999999999999</v>
      </c>
      <c r="V31" s="5">
        <v>1.3653</v>
      </c>
      <c r="W31" s="5">
        <v>1.3213999999999999</v>
      </c>
      <c r="X31" s="34">
        <f t="shared" si="12"/>
        <v>-4.390000000000005E-2</v>
      </c>
      <c r="Y31" s="35">
        <f t="shared" si="13"/>
        <v>4.390000000000005E-2</v>
      </c>
      <c r="Z31" s="36">
        <f t="shared" si="14"/>
        <v>3.2154105324837069E-2</v>
      </c>
      <c r="AA31" s="5">
        <v>0.30690000000000001</v>
      </c>
      <c r="AB31" s="35">
        <f t="shared" si="15"/>
        <v>1.0584</v>
      </c>
      <c r="AC31" s="36">
        <f t="shared" si="16"/>
        <v>0.77521423862887284</v>
      </c>
      <c r="AD31" s="37">
        <f t="shared" si="17"/>
        <v>1.0145</v>
      </c>
      <c r="AE31" s="6">
        <f t="shared" si="18"/>
        <v>1.6866666666666686E-2</v>
      </c>
      <c r="AF31" s="35">
        <f t="shared" si="19"/>
        <v>0.88053333333333328</v>
      </c>
      <c r="AG31" s="38">
        <f t="shared" si="20"/>
        <v>3.2721372457404883E-2</v>
      </c>
    </row>
    <row r="32" spans="1:33" ht="19" customHeight="1" x14ac:dyDescent="0.25">
      <c r="A32" s="9" t="s">
        <v>48</v>
      </c>
      <c r="B32" s="10">
        <v>0.6</v>
      </c>
      <c r="C32" s="11">
        <v>90</v>
      </c>
      <c r="D32" s="12">
        <v>0.48480000000000001</v>
      </c>
      <c r="E32" s="12">
        <v>0.46820000000000001</v>
      </c>
      <c r="F32" s="39">
        <f t="shared" si="0"/>
        <v>-1.6600000000000004E-2</v>
      </c>
      <c r="G32" s="40">
        <f t="shared" si="1"/>
        <v>1.6600000000000004E-2</v>
      </c>
      <c r="H32" s="41">
        <f t="shared" si="2"/>
        <v>3.4240924092409246E-2</v>
      </c>
      <c r="I32" s="12">
        <v>0</v>
      </c>
      <c r="J32" s="40">
        <f t="shared" si="3"/>
        <v>0.48480000000000001</v>
      </c>
      <c r="K32" s="41">
        <f t="shared" si="4"/>
        <v>1</v>
      </c>
      <c r="L32" s="42">
        <f t="shared" si="5"/>
        <v>0.46820000000000001</v>
      </c>
      <c r="M32" s="12">
        <v>-1.11E-2</v>
      </c>
      <c r="N32" s="12">
        <v>-9.4999999999999998E-3</v>
      </c>
      <c r="O32" s="39">
        <f t="shared" si="6"/>
        <v>1.6000000000000007E-3</v>
      </c>
      <c r="P32" s="40">
        <f t="shared" si="7"/>
        <v>1.6000000000000007E-3</v>
      </c>
      <c r="Q32" s="41">
        <f t="shared" si="8"/>
        <v>4.6566316255136866E-5</v>
      </c>
      <c r="R32" s="12">
        <v>-1.1176999999999999</v>
      </c>
      <c r="S32" s="40">
        <f t="shared" si="9"/>
        <v>1.1065999999999998</v>
      </c>
      <c r="T32" s="41">
        <f t="shared" si="10"/>
        <v>3.2206428479959012E-2</v>
      </c>
      <c r="U32" s="42">
        <f t="shared" si="11"/>
        <v>1.1049999999999998</v>
      </c>
      <c r="V32" s="12">
        <v>1.4191</v>
      </c>
      <c r="W32" s="12">
        <v>1.3821000000000001</v>
      </c>
      <c r="X32" s="39">
        <f t="shared" si="12"/>
        <v>-3.6999999999999922E-2</v>
      </c>
      <c r="Y32" s="40">
        <f t="shared" si="13"/>
        <v>3.6999999999999922E-2</v>
      </c>
      <c r="Z32" s="41">
        <f t="shared" si="14"/>
        <v>2.6072863082235165E-2</v>
      </c>
      <c r="AA32" s="12">
        <v>0.31680000000000003</v>
      </c>
      <c r="AB32" s="40">
        <f t="shared" si="15"/>
        <v>1.1023000000000001</v>
      </c>
      <c r="AC32" s="41">
        <f t="shared" si="16"/>
        <v>0.77675991825805091</v>
      </c>
      <c r="AD32" s="42">
        <f t="shared" si="17"/>
        <v>1.0653000000000001</v>
      </c>
      <c r="AE32" s="13">
        <f t="shared" si="18"/>
        <v>1.8399999999999975E-2</v>
      </c>
      <c r="AF32" s="40">
        <f t="shared" si="19"/>
        <v>0.89789999999999992</v>
      </c>
      <c r="AG32" s="43">
        <f t="shared" si="20"/>
        <v>2.012011783029985E-2</v>
      </c>
    </row>
    <row r="33" spans="1:33" ht="19" customHeight="1" x14ac:dyDescent="0.25">
      <c r="A33" s="2" t="s">
        <v>49</v>
      </c>
      <c r="B33" s="3">
        <v>0.8</v>
      </c>
      <c r="C33" s="4">
        <v>0</v>
      </c>
      <c r="D33" s="5">
        <v>-2.1046</v>
      </c>
      <c r="E33" s="5">
        <v>-2.0240999999999998</v>
      </c>
      <c r="F33" s="34">
        <f t="shared" si="0"/>
        <v>8.0500000000000238E-2</v>
      </c>
      <c r="G33" s="35">
        <f t="shared" si="1"/>
        <v>8.0500000000000238E-2</v>
      </c>
      <c r="H33" s="36">
        <f t="shared" si="2"/>
        <v>3.8249548607811573E-2</v>
      </c>
      <c r="I33" s="5">
        <v>-2.9632000000000001</v>
      </c>
      <c r="J33" s="35">
        <f t="shared" si="3"/>
        <v>0.85860000000000003</v>
      </c>
      <c r="K33" s="36">
        <f t="shared" si="4"/>
        <v>0.40796350850517915</v>
      </c>
      <c r="L33" s="37">
        <f t="shared" si="5"/>
        <v>0.77809999999999979</v>
      </c>
      <c r="M33" s="5">
        <v>-0.64459999999999995</v>
      </c>
      <c r="N33" s="5">
        <v>-0.61240000000000006</v>
      </c>
      <c r="O33" s="34">
        <f t="shared" si="6"/>
        <v>3.2199999999999895E-2</v>
      </c>
      <c r="P33" s="35">
        <f t="shared" si="7"/>
        <v>3.2199999999999895E-2</v>
      </c>
      <c r="Q33" s="36">
        <f t="shared" si="8"/>
        <v>4.9953459509773347E-2</v>
      </c>
      <c r="R33" s="5">
        <v>0</v>
      </c>
      <c r="S33" s="35">
        <f t="shared" si="9"/>
        <v>0.64459999999999995</v>
      </c>
      <c r="T33" s="36">
        <f t="shared" si="10"/>
        <v>1</v>
      </c>
      <c r="U33" s="37">
        <f t="shared" si="11"/>
        <v>0.61240000000000006</v>
      </c>
      <c r="V33" s="5">
        <v>-0.65300000000000002</v>
      </c>
      <c r="W33" s="5">
        <v>-0.62890000000000001</v>
      </c>
      <c r="X33" s="34">
        <f t="shared" si="12"/>
        <v>2.410000000000001E-2</v>
      </c>
      <c r="Y33" s="35">
        <f t="shared" si="13"/>
        <v>2.410000000000001E-2</v>
      </c>
      <c r="Z33" s="36">
        <f t="shared" si="14"/>
        <v>3.6906584992343047E-2</v>
      </c>
      <c r="AA33" s="5">
        <v>0</v>
      </c>
      <c r="AB33" s="35">
        <f t="shared" si="15"/>
        <v>0.65300000000000002</v>
      </c>
      <c r="AC33" s="36">
        <f t="shared" si="16"/>
        <v>1</v>
      </c>
      <c r="AD33" s="37">
        <f t="shared" si="17"/>
        <v>0.62890000000000001</v>
      </c>
      <c r="AE33" s="6">
        <f t="shared" si="18"/>
        <v>4.560000000000005E-2</v>
      </c>
      <c r="AF33" s="35">
        <f t="shared" si="19"/>
        <v>0.71873333333333334</v>
      </c>
      <c r="AG33" s="38">
        <f t="shared" si="20"/>
        <v>4.1703197703309325E-2</v>
      </c>
    </row>
    <row r="34" spans="1:33" ht="19" customHeight="1" x14ac:dyDescent="0.25">
      <c r="A34" s="9" t="s">
        <v>50</v>
      </c>
      <c r="B34" s="10">
        <v>0.8</v>
      </c>
      <c r="C34" s="11">
        <v>15</v>
      </c>
      <c r="D34" s="12">
        <v>-2.1640000000000001</v>
      </c>
      <c r="E34" s="12">
        <v>-2.0811999999999999</v>
      </c>
      <c r="F34" s="39">
        <f t="shared" si="0"/>
        <v>8.2800000000000207E-2</v>
      </c>
      <c r="G34" s="40">
        <f t="shared" si="1"/>
        <v>8.2800000000000207E-2</v>
      </c>
      <c r="H34" s="41">
        <f t="shared" si="2"/>
        <v>3.8262476894639651E-2</v>
      </c>
      <c r="I34" s="12">
        <v>-2.8622000000000001</v>
      </c>
      <c r="J34" s="40">
        <f t="shared" si="3"/>
        <v>0.69819999999999993</v>
      </c>
      <c r="K34" s="41">
        <f t="shared" si="4"/>
        <v>0.3226432532347504</v>
      </c>
      <c r="L34" s="42">
        <f t="shared" si="5"/>
        <v>0.61539999999999973</v>
      </c>
      <c r="M34" s="12">
        <v>-0.32250000000000001</v>
      </c>
      <c r="N34" s="12">
        <v>-0.30869999999999997</v>
      </c>
      <c r="O34" s="39">
        <f t="shared" si="6"/>
        <v>1.3800000000000034E-2</v>
      </c>
      <c r="P34" s="40">
        <f t="shared" si="7"/>
        <v>1.3800000000000034E-2</v>
      </c>
      <c r="Q34" s="41">
        <f t="shared" si="8"/>
        <v>4.2790697674418711E-2</v>
      </c>
      <c r="R34" s="12">
        <v>-0.55230000000000001</v>
      </c>
      <c r="S34" s="40">
        <f t="shared" si="9"/>
        <v>0.2298</v>
      </c>
      <c r="T34" s="41">
        <f t="shared" si="10"/>
        <v>0.71255813953488367</v>
      </c>
      <c r="U34" s="42">
        <f t="shared" si="11"/>
        <v>0.21599999999999997</v>
      </c>
      <c r="V34" s="12">
        <v>-6.59E-2</v>
      </c>
      <c r="W34" s="12">
        <v>-6.2100000000000002E-2</v>
      </c>
      <c r="X34" s="39">
        <f t="shared" si="12"/>
        <v>3.7999999999999978E-3</v>
      </c>
      <c r="Y34" s="40">
        <f t="shared" si="13"/>
        <v>3.7999999999999978E-3</v>
      </c>
      <c r="Z34" s="41">
        <f t="shared" si="14"/>
        <v>5.7663125948406641E-2</v>
      </c>
      <c r="AA34" s="12">
        <v>0.1479</v>
      </c>
      <c r="AB34" s="40">
        <f t="shared" si="15"/>
        <v>0.21379999999999999</v>
      </c>
      <c r="AC34" s="41">
        <f t="shared" si="16"/>
        <v>3.2443095599393019</v>
      </c>
      <c r="AD34" s="42">
        <f t="shared" si="17"/>
        <v>0.21</v>
      </c>
      <c r="AE34" s="13">
        <f t="shared" si="18"/>
        <v>3.3466666666666749E-2</v>
      </c>
      <c r="AF34" s="40">
        <f t="shared" si="19"/>
        <v>0.38059999999999999</v>
      </c>
      <c r="AG34" s="43">
        <f t="shared" si="20"/>
        <v>4.6238766839155003E-2</v>
      </c>
    </row>
    <row r="35" spans="1:33" ht="19" customHeight="1" x14ac:dyDescent="0.25">
      <c r="A35" s="2" t="s">
        <v>51</v>
      </c>
      <c r="B35" s="3">
        <v>0.8</v>
      </c>
      <c r="C35" s="4">
        <v>30</v>
      </c>
      <c r="D35" s="5">
        <v>-8.9863999999999997</v>
      </c>
      <c r="E35" s="5">
        <v>-8.6213999999999995</v>
      </c>
      <c r="F35" s="34">
        <f t="shared" si="0"/>
        <v>0.36500000000000021</v>
      </c>
      <c r="G35" s="35">
        <f t="shared" si="1"/>
        <v>0.36500000000000021</v>
      </c>
      <c r="H35" s="36">
        <f t="shared" si="2"/>
        <v>4.0616932253182615E-2</v>
      </c>
      <c r="I35" s="5">
        <v>-2.5661</v>
      </c>
      <c r="J35" s="35">
        <f t="shared" si="3"/>
        <v>6.4202999999999992</v>
      </c>
      <c r="K35" s="36">
        <f t="shared" si="4"/>
        <v>0.71444627437015928</v>
      </c>
      <c r="L35" s="37">
        <f t="shared" si="5"/>
        <v>6.055299999999999</v>
      </c>
      <c r="M35" s="5">
        <v>-4.9015000000000004</v>
      </c>
      <c r="N35" s="5">
        <v>-4.6852</v>
      </c>
      <c r="O35" s="34">
        <f t="shared" si="6"/>
        <v>0.21630000000000038</v>
      </c>
      <c r="P35" s="35">
        <f t="shared" si="7"/>
        <v>0.21630000000000038</v>
      </c>
      <c r="Q35" s="36">
        <f t="shared" si="8"/>
        <v>4.4129348158726996E-2</v>
      </c>
      <c r="R35" s="5">
        <v>-0.9929</v>
      </c>
      <c r="S35" s="35">
        <f t="shared" si="9"/>
        <v>3.9086000000000003</v>
      </c>
      <c r="T35" s="36">
        <f t="shared" si="10"/>
        <v>0.79742935835968576</v>
      </c>
      <c r="U35" s="37">
        <f t="shared" si="11"/>
        <v>3.6922999999999999</v>
      </c>
      <c r="V35" s="5">
        <v>-3.4174000000000002</v>
      </c>
      <c r="W35" s="5">
        <v>-3.2841</v>
      </c>
      <c r="X35" s="34">
        <f t="shared" si="12"/>
        <v>0.1333000000000002</v>
      </c>
      <c r="Y35" s="35">
        <f t="shared" si="13"/>
        <v>0.1333000000000002</v>
      </c>
      <c r="Z35" s="36">
        <f t="shared" si="14"/>
        <v>3.9006262070580028E-2</v>
      </c>
      <c r="AA35" s="5">
        <v>0.28449999999999998</v>
      </c>
      <c r="AB35" s="35">
        <f t="shared" si="15"/>
        <v>3.7019000000000002</v>
      </c>
      <c r="AC35" s="36">
        <f t="shared" si="16"/>
        <v>1.0832504242991747</v>
      </c>
      <c r="AD35" s="37">
        <f t="shared" si="17"/>
        <v>3.5686</v>
      </c>
      <c r="AE35" s="6">
        <f t="shared" si="18"/>
        <v>0.23820000000000027</v>
      </c>
      <c r="AF35" s="35">
        <f t="shared" si="19"/>
        <v>4.6769333333333334</v>
      </c>
      <c r="AG35" s="38">
        <f t="shared" si="20"/>
        <v>4.1250847494163211E-2</v>
      </c>
    </row>
    <row r="36" spans="1:33" ht="19" customHeight="1" x14ac:dyDescent="0.25">
      <c r="A36" s="9" t="s">
        <v>52</v>
      </c>
      <c r="B36" s="10">
        <v>0.8</v>
      </c>
      <c r="C36" s="11">
        <v>45</v>
      </c>
      <c r="D36" s="12">
        <v>-1.7621</v>
      </c>
      <c r="E36" s="12">
        <v>-1.7012</v>
      </c>
      <c r="F36" s="39">
        <f t="shared" si="0"/>
        <v>6.0899999999999954E-2</v>
      </c>
      <c r="G36" s="40">
        <f t="shared" si="1"/>
        <v>6.0899999999999954E-2</v>
      </c>
      <c r="H36" s="41">
        <f t="shared" si="2"/>
        <v>3.4561035128539787E-2</v>
      </c>
      <c r="I36" s="12">
        <v>-2.0952999999999999</v>
      </c>
      <c r="J36" s="40">
        <f t="shared" si="3"/>
        <v>0.33319999999999994</v>
      </c>
      <c r="K36" s="41">
        <f t="shared" si="4"/>
        <v>0.18909256001362007</v>
      </c>
      <c r="L36" s="42">
        <f t="shared" si="5"/>
        <v>0.27229999999999999</v>
      </c>
      <c r="M36" s="12">
        <v>1.3340000000000001</v>
      </c>
      <c r="N36" s="12">
        <v>1.2854000000000001</v>
      </c>
      <c r="O36" s="39">
        <f t="shared" si="6"/>
        <v>-4.8599999999999977E-2</v>
      </c>
      <c r="P36" s="40">
        <f t="shared" si="7"/>
        <v>4.8599999999999977E-2</v>
      </c>
      <c r="Q36" s="41">
        <f t="shared" si="8"/>
        <v>3.6431784107946008E-2</v>
      </c>
      <c r="R36" s="12">
        <v>-1.4112</v>
      </c>
      <c r="S36" s="40">
        <f t="shared" si="9"/>
        <v>2.7452000000000001</v>
      </c>
      <c r="T36" s="41">
        <f t="shared" si="10"/>
        <v>2.0578710644677662</v>
      </c>
      <c r="U36" s="42">
        <f t="shared" si="11"/>
        <v>2.6966000000000001</v>
      </c>
      <c r="V36" s="12">
        <v>0.28149999999999997</v>
      </c>
      <c r="W36" s="12">
        <v>0.27410000000000001</v>
      </c>
      <c r="X36" s="39">
        <f t="shared" si="12"/>
        <v>-7.3999999999999622E-3</v>
      </c>
      <c r="Y36" s="40">
        <f t="shared" si="13"/>
        <v>7.3999999999999622E-3</v>
      </c>
      <c r="Z36" s="41">
        <f t="shared" si="14"/>
        <v>2.6287744227353332E-2</v>
      </c>
      <c r="AA36" s="12">
        <v>0.40600000000000003</v>
      </c>
      <c r="AB36" s="40">
        <f t="shared" si="15"/>
        <v>0.12450000000000006</v>
      </c>
      <c r="AC36" s="41">
        <f t="shared" si="16"/>
        <v>0.44227353463587948</v>
      </c>
      <c r="AD36" s="42">
        <f t="shared" si="17"/>
        <v>0.11710000000000009</v>
      </c>
      <c r="AE36" s="13">
        <f t="shared" si="18"/>
        <v>3.8966666666666629E-2</v>
      </c>
      <c r="AF36" s="40">
        <f t="shared" si="19"/>
        <v>1.0676333333333334</v>
      </c>
      <c r="AG36" s="43">
        <f t="shared" si="20"/>
        <v>3.2426854487946376E-2</v>
      </c>
    </row>
    <row r="37" spans="1:33" ht="19" customHeight="1" x14ac:dyDescent="0.25">
      <c r="A37" s="2" t="s">
        <v>53</v>
      </c>
      <c r="B37" s="3">
        <v>0.8</v>
      </c>
      <c r="C37" s="4">
        <v>60</v>
      </c>
      <c r="D37" s="5">
        <v>-0.67530000000000001</v>
      </c>
      <c r="E37" s="5">
        <v>-0.64870000000000005</v>
      </c>
      <c r="F37" s="34">
        <f t="shared" ref="F37:F68" si="21">E37-D37</f>
        <v>2.6599999999999957E-2</v>
      </c>
      <c r="G37" s="35">
        <f t="shared" ref="G37:G56" si="22">ABS(E37-D37)</f>
        <v>2.6599999999999957E-2</v>
      </c>
      <c r="H37" s="36">
        <f t="shared" ref="H37:H68" si="23">IF(ABS(D37)&gt;=0.05, G37/ABS(D37), G37/(MAX($D$5:$D$56)-MIN($D$5:$D$56)))</f>
        <v>3.9389900784836306E-2</v>
      </c>
      <c r="I37" s="5">
        <v>-1.4816</v>
      </c>
      <c r="J37" s="35">
        <f t="shared" ref="J37:J68" si="24">ABS(I37-D37)</f>
        <v>0.80630000000000002</v>
      </c>
      <c r="K37" s="36">
        <f t="shared" ref="K37:K68" si="25">IF(ABS(D37)&gt;=0.05, J37/ABS(D37), J37/(MAX($D$5:$D$56)-MIN($D$5:$D$56)))</f>
        <v>1.1939878572486302</v>
      </c>
      <c r="L37" s="37">
        <f t="shared" ref="L37:L56" si="26">J37-G37</f>
        <v>0.77970000000000006</v>
      </c>
      <c r="M37" s="5">
        <v>0.5625</v>
      </c>
      <c r="N37" s="5">
        <v>0.54120000000000001</v>
      </c>
      <c r="O37" s="34">
        <f t="shared" ref="O37:O68" si="27">N37-M37</f>
        <v>-2.1299999999999986E-2</v>
      </c>
      <c r="P37" s="35">
        <f t="shared" ref="P37:P56" si="28">ABS(N37-M37)</f>
        <v>2.1299999999999986E-2</v>
      </c>
      <c r="Q37" s="36">
        <f t="shared" ref="Q37:Q68" si="29">IF(ABS(M37)&gt;=0.05, P37/ABS(M37), P37/(MAX($M$5:$M$56)-MIN($M$5:$M$56)))</f>
        <v>3.7866666666666639E-2</v>
      </c>
      <c r="R37" s="5">
        <v>-1.718</v>
      </c>
      <c r="S37" s="35">
        <f t="shared" ref="S37:S68" si="30">ABS(R37-M37)</f>
        <v>2.2805</v>
      </c>
      <c r="T37" s="36">
        <f t="shared" ref="T37:T68" si="31">IF(ABS(M37)&gt;=0.05, S37/ABS(M37), S37/(MAX($M$5:$M$56)-MIN($M$5:$M$56)))</f>
        <v>4.0542222222222222</v>
      </c>
      <c r="U37" s="37">
        <f t="shared" ref="U37:U56" si="32">S37-P37</f>
        <v>2.2591999999999999</v>
      </c>
      <c r="V37" s="5">
        <v>1.9819</v>
      </c>
      <c r="W37" s="5">
        <v>1.9214</v>
      </c>
      <c r="X37" s="34">
        <f t="shared" ref="X37:X68" si="33">W37-V37</f>
        <v>-6.0499999999999998E-2</v>
      </c>
      <c r="Y37" s="35">
        <f t="shared" ref="Y37:Y56" si="34">ABS(W37-V37)</f>
        <v>6.0499999999999998E-2</v>
      </c>
      <c r="Z37" s="36">
        <f t="shared" ref="Z37:Z68" si="35">IF(ABS(V37)&gt;=0.05, Y37/ABS(V37), Y37/(MAX($V$5:$V$56)-MIN($V$5:$V$56)))</f>
        <v>3.0526262677228921E-2</v>
      </c>
      <c r="AA37" s="5">
        <v>0.49280000000000002</v>
      </c>
      <c r="AB37" s="35">
        <f t="shared" ref="AB37:AB68" si="36">ABS(AA37-V37)</f>
        <v>1.4891000000000001</v>
      </c>
      <c r="AC37" s="36">
        <f t="shared" ref="AC37:AC68" si="37">IF(ABS(V37)&gt;=0.05, AB37/ABS(V37), AB37/(MAX($V$5:$V$56)-MIN($V$5:$V$56)))</f>
        <v>0.75134971492002633</v>
      </c>
      <c r="AD37" s="37">
        <f t="shared" ref="AD37:AD56" si="38">AB37-Y37</f>
        <v>1.4286000000000001</v>
      </c>
      <c r="AE37" s="6">
        <f t="shared" ref="AE37:AE56" si="39">AVERAGE(G37,P37,Y37)</f>
        <v>3.6133333333333316E-2</v>
      </c>
      <c r="AF37" s="35">
        <f t="shared" ref="AF37:AF56" si="40">AVERAGE(J37,S37,AB37)</f>
        <v>1.5253000000000003</v>
      </c>
      <c r="AG37" s="38">
        <f t="shared" ref="AG37:AG56" si="41">AVERAGE(H37,Q37,Z37)</f>
        <v>3.5927610042910625E-2</v>
      </c>
    </row>
    <row r="38" spans="1:33" ht="19" customHeight="1" x14ac:dyDescent="0.25">
      <c r="A38" s="9" t="s">
        <v>54</v>
      </c>
      <c r="B38" s="10">
        <v>0.8</v>
      </c>
      <c r="C38" s="11">
        <v>75</v>
      </c>
      <c r="D38" s="12">
        <v>-1.1000000000000001E-3</v>
      </c>
      <c r="E38" s="12">
        <v>-8.9999999999999998E-4</v>
      </c>
      <c r="F38" s="39">
        <f t="shared" si="21"/>
        <v>2.0000000000000009E-4</v>
      </c>
      <c r="G38" s="40">
        <f t="shared" si="22"/>
        <v>2.0000000000000009E-4</v>
      </c>
      <c r="H38" s="41">
        <f t="shared" si="23"/>
        <v>1.1684017432554015E-5</v>
      </c>
      <c r="I38" s="12">
        <v>-0.76690000000000003</v>
      </c>
      <c r="J38" s="40">
        <f t="shared" si="24"/>
        <v>0.76580000000000004</v>
      </c>
      <c r="K38" s="41">
        <f t="shared" si="25"/>
        <v>4.4738102749249303E-2</v>
      </c>
      <c r="L38" s="42">
        <f t="shared" si="26"/>
        <v>0.76560000000000006</v>
      </c>
      <c r="M38" s="12">
        <v>0.5333</v>
      </c>
      <c r="N38" s="12">
        <v>0.51239999999999997</v>
      </c>
      <c r="O38" s="39">
        <f t="shared" si="27"/>
        <v>-2.090000000000003E-2</v>
      </c>
      <c r="P38" s="40">
        <f t="shared" si="28"/>
        <v>2.090000000000003E-2</v>
      </c>
      <c r="Q38" s="41">
        <f t="shared" si="29"/>
        <v>3.9189949371835793E-2</v>
      </c>
      <c r="R38" s="12">
        <v>-1.9193</v>
      </c>
      <c r="S38" s="40">
        <f t="shared" si="30"/>
        <v>2.4525999999999999</v>
      </c>
      <c r="T38" s="41">
        <f t="shared" si="31"/>
        <v>4.5989124320270012</v>
      </c>
      <c r="U38" s="42">
        <f t="shared" si="32"/>
        <v>2.4316999999999998</v>
      </c>
      <c r="V38" s="12">
        <v>2.2469000000000001</v>
      </c>
      <c r="W38" s="12">
        <v>2.1852</v>
      </c>
      <c r="X38" s="39">
        <f t="shared" si="33"/>
        <v>-6.1700000000000088E-2</v>
      </c>
      <c r="Y38" s="40">
        <f t="shared" si="34"/>
        <v>6.1700000000000088E-2</v>
      </c>
      <c r="Z38" s="41">
        <f t="shared" si="35"/>
        <v>2.7460056077262044E-2</v>
      </c>
      <c r="AA38" s="12">
        <v>0.54559999999999997</v>
      </c>
      <c r="AB38" s="40">
        <f t="shared" si="36"/>
        <v>1.7013000000000003</v>
      </c>
      <c r="AC38" s="41">
        <f t="shared" si="37"/>
        <v>0.75717655436379017</v>
      </c>
      <c r="AD38" s="42">
        <f t="shared" si="38"/>
        <v>1.6396000000000002</v>
      </c>
      <c r="AE38" s="13">
        <f t="shared" si="39"/>
        <v>2.7600000000000041E-2</v>
      </c>
      <c r="AF38" s="40">
        <f t="shared" si="40"/>
        <v>1.6399000000000001</v>
      </c>
      <c r="AG38" s="43">
        <f t="shared" si="41"/>
        <v>2.2220563155510131E-2</v>
      </c>
    </row>
    <row r="39" spans="1:33" ht="19" customHeight="1" x14ac:dyDescent="0.25">
      <c r="A39" s="2" t="s">
        <v>55</v>
      </c>
      <c r="B39" s="3">
        <v>0.8</v>
      </c>
      <c r="C39" s="4">
        <v>90</v>
      </c>
      <c r="D39" s="5">
        <v>0.47539999999999999</v>
      </c>
      <c r="E39" s="5">
        <v>0.45889999999999997</v>
      </c>
      <c r="F39" s="34">
        <f t="shared" si="21"/>
        <v>-1.6500000000000015E-2</v>
      </c>
      <c r="G39" s="35">
        <f t="shared" si="22"/>
        <v>1.6500000000000015E-2</v>
      </c>
      <c r="H39" s="36">
        <f t="shared" si="23"/>
        <v>3.4707614640302933E-2</v>
      </c>
      <c r="I39" s="5">
        <v>0</v>
      </c>
      <c r="J39" s="35">
        <f t="shared" si="24"/>
        <v>0.47539999999999999</v>
      </c>
      <c r="K39" s="36">
        <f t="shared" si="25"/>
        <v>1</v>
      </c>
      <c r="L39" s="37">
        <f t="shared" si="26"/>
        <v>0.45889999999999997</v>
      </c>
      <c r="M39" s="5">
        <v>0.56950000000000001</v>
      </c>
      <c r="N39" s="5">
        <v>0.54869999999999997</v>
      </c>
      <c r="O39" s="34">
        <f t="shared" si="27"/>
        <v>-2.0800000000000041E-2</v>
      </c>
      <c r="P39" s="35">
        <f t="shared" si="28"/>
        <v>2.0800000000000041E-2</v>
      </c>
      <c r="Q39" s="36">
        <f t="shared" si="29"/>
        <v>3.6523266022827114E-2</v>
      </c>
      <c r="R39" s="5">
        <v>-1.9870000000000001</v>
      </c>
      <c r="S39" s="35">
        <f t="shared" si="30"/>
        <v>2.5565000000000002</v>
      </c>
      <c r="T39" s="36">
        <f t="shared" si="31"/>
        <v>4.489025460930641</v>
      </c>
      <c r="U39" s="37">
        <f t="shared" si="32"/>
        <v>2.5357000000000003</v>
      </c>
      <c r="V39" s="5">
        <v>2.4645999999999999</v>
      </c>
      <c r="W39" s="5">
        <v>2.4011999999999998</v>
      </c>
      <c r="X39" s="34">
        <f t="shared" si="33"/>
        <v>-6.3400000000000123E-2</v>
      </c>
      <c r="Y39" s="35">
        <f t="shared" si="34"/>
        <v>6.3400000000000123E-2</v>
      </c>
      <c r="Z39" s="36">
        <f t="shared" si="35"/>
        <v>2.5724255457275066E-2</v>
      </c>
      <c r="AA39" s="5">
        <v>0.56320000000000003</v>
      </c>
      <c r="AB39" s="35">
        <f t="shared" si="36"/>
        <v>1.9013999999999998</v>
      </c>
      <c r="AC39" s="36">
        <f t="shared" si="37"/>
        <v>0.77148421650572097</v>
      </c>
      <c r="AD39" s="37">
        <f t="shared" si="38"/>
        <v>1.8379999999999996</v>
      </c>
      <c r="AE39" s="6">
        <f t="shared" si="39"/>
        <v>3.3566666666666724E-2</v>
      </c>
      <c r="AF39" s="35">
        <f t="shared" si="40"/>
        <v>1.6444333333333334</v>
      </c>
      <c r="AG39" s="38">
        <f t="shared" si="41"/>
        <v>3.2318378706801702E-2</v>
      </c>
    </row>
    <row r="40" spans="1:33" ht="19" customHeight="1" x14ac:dyDescent="0.25">
      <c r="A40" s="9" t="s">
        <v>56</v>
      </c>
      <c r="B40" s="10">
        <v>1</v>
      </c>
      <c r="C40" s="11">
        <v>0</v>
      </c>
      <c r="D40" s="12">
        <v>-2.4418000000000002</v>
      </c>
      <c r="E40" s="12">
        <v>-2.3654000000000002</v>
      </c>
      <c r="F40" s="39">
        <f t="shared" si="21"/>
        <v>7.6400000000000023E-2</v>
      </c>
      <c r="G40" s="40">
        <f t="shared" si="22"/>
        <v>7.6400000000000023E-2</v>
      </c>
      <c r="H40" s="41">
        <f t="shared" si="23"/>
        <v>3.1288393807846676E-2</v>
      </c>
      <c r="I40" s="12">
        <v>-4.63</v>
      </c>
      <c r="J40" s="40">
        <f t="shared" si="24"/>
        <v>2.1881999999999997</v>
      </c>
      <c r="K40" s="41">
        <f t="shared" si="25"/>
        <v>0.89614219018756636</v>
      </c>
      <c r="L40" s="42">
        <f t="shared" si="26"/>
        <v>2.1117999999999997</v>
      </c>
      <c r="M40" s="12">
        <v>-0.81910000000000005</v>
      </c>
      <c r="N40" s="12">
        <v>-0.78520000000000001</v>
      </c>
      <c r="O40" s="39">
        <f t="shared" si="27"/>
        <v>3.3900000000000041E-2</v>
      </c>
      <c r="P40" s="40">
        <f t="shared" si="28"/>
        <v>3.3900000000000041E-2</v>
      </c>
      <c r="Q40" s="41">
        <f t="shared" si="29"/>
        <v>4.1386888047857451E-2</v>
      </c>
      <c r="R40" s="12">
        <v>0</v>
      </c>
      <c r="S40" s="40">
        <f t="shared" si="30"/>
        <v>0.81910000000000005</v>
      </c>
      <c r="T40" s="41">
        <f t="shared" si="31"/>
        <v>1</v>
      </c>
      <c r="U40" s="42">
        <f t="shared" si="32"/>
        <v>0.78520000000000001</v>
      </c>
      <c r="V40" s="12">
        <v>0.77170000000000005</v>
      </c>
      <c r="W40" s="12">
        <v>0.74119999999999997</v>
      </c>
      <c r="X40" s="39">
        <f t="shared" si="33"/>
        <v>-3.0500000000000083E-2</v>
      </c>
      <c r="Y40" s="40">
        <f t="shared" si="34"/>
        <v>3.0500000000000083E-2</v>
      </c>
      <c r="Z40" s="41">
        <f t="shared" si="35"/>
        <v>3.9523130750291666E-2</v>
      </c>
      <c r="AA40" s="12">
        <v>0</v>
      </c>
      <c r="AB40" s="40">
        <f t="shared" si="36"/>
        <v>0.77170000000000005</v>
      </c>
      <c r="AC40" s="41">
        <f t="shared" si="37"/>
        <v>1</v>
      </c>
      <c r="AD40" s="42">
        <f t="shared" si="38"/>
        <v>0.74119999999999997</v>
      </c>
      <c r="AE40" s="13">
        <f t="shared" si="39"/>
        <v>4.6933333333333382E-2</v>
      </c>
      <c r="AF40" s="40">
        <f t="shared" si="40"/>
        <v>1.2596666666666667</v>
      </c>
      <c r="AG40" s="43">
        <f t="shared" si="41"/>
        <v>3.7399470868665262E-2</v>
      </c>
    </row>
    <row r="41" spans="1:33" ht="19" customHeight="1" x14ac:dyDescent="0.25">
      <c r="A41" s="2" t="s">
        <v>57</v>
      </c>
      <c r="B41" s="3">
        <v>1</v>
      </c>
      <c r="C41" s="4">
        <v>15</v>
      </c>
      <c r="D41" s="5">
        <v>-2.9247999999999998</v>
      </c>
      <c r="E41" s="5">
        <v>-2.8123999999999998</v>
      </c>
      <c r="F41" s="34">
        <f t="shared" si="21"/>
        <v>0.11240000000000006</v>
      </c>
      <c r="G41" s="35">
        <f t="shared" si="22"/>
        <v>0.11240000000000006</v>
      </c>
      <c r="H41" s="36">
        <f t="shared" si="23"/>
        <v>3.8429978118161949E-2</v>
      </c>
      <c r="I41" s="5">
        <v>-4.4722</v>
      </c>
      <c r="J41" s="35">
        <f t="shared" si="24"/>
        <v>1.5474000000000001</v>
      </c>
      <c r="K41" s="36">
        <f t="shared" si="25"/>
        <v>0.52906181619256021</v>
      </c>
      <c r="L41" s="37">
        <f t="shared" si="26"/>
        <v>1.4350000000000001</v>
      </c>
      <c r="M41" s="5">
        <v>-0.44440000000000002</v>
      </c>
      <c r="N41" s="5">
        <v>-0.42870000000000003</v>
      </c>
      <c r="O41" s="34">
        <f t="shared" si="27"/>
        <v>1.5699999999999992E-2</v>
      </c>
      <c r="P41" s="35">
        <f t="shared" si="28"/>
        <v>1.5699999999999992E-2</v>
      </c>
      <c r="Q41" s="36">
        <f t="shared" si="29"/>
        <v>3.5328532853285306E-2</v>
      </c>
      <c r="R41" s="5">
        <v>-0.8629</v>
      </c>
      <c r="S41" s="35">
        <f t="shared" si="30"/>
        <v>0.41849999999999998</v>
      </c>
      <c r="T41" s="36">
        <f t="shared" si="31"/>
        <v>0.94171917191719168</v>
      </c>
      <c r="U41" s="37">
        <f t="shared" si="32"/>
        <v>0.40279999999999999</v>
      </c>
      <c r="V41" s="5">
        <v>8.3900000000000002E-2</v>
      </c>
      <c r="W41" s="5">
        <v>8.0500000000000002E-2</v>
      </c>
      <c r="X41" s="34">
        <f t="shared" si="33"/>
        <v>-3.4000000000000002E-3</v>
      </c>
      <c r="Y41" s="35">
        <f t="shared" si="34"/>
        <v>3.4000000000000002E-3</v>
      </c>
      <c r="Z41" s="36">
        <f t="shared" si="35"/>
        <v>4.0524433849821219E-2</v>
      </c>
      <c r="AA41" s="5">
        <v>0.2311</v>
      </c>
      <c r="AB41" s="35">
        <f t="shared" si="36"/>
        <v>0.1472</v>
      </c>
      <c r="AC41" s="36">
        <f t="shared" si="37"/>
        <v>1.7544696066746126</v>
      </c>
      <c r="AD41" s="37">
        <f t="shared" si="38"/>
        <v>0.14379999999999998</v>
      </c>
      <c r="AE41" s="6">
        <f t="shared" si="39"/>
        <v>4.3833333333333356E-2</v>
      </c>
      <c r="AF41" s="35">
        <f t="shared" si="40"/>
        <v>0.7043666666666667</v>
      </c>
      <c r="AG41" s="38">
        <f t="shared" si="41"/>
        <v>3.809431494042282E-2</v>
      </c>
    </row>
    <row r="42" spans="1:33" ht="19" customHeight="1" x14ac:dyDescent="0.25">
      <c r="A42" s="9" t="s">
        <v>58</v>
      </c>
      <c r="B42" s="10">
        <v>1</v>
      </c>
      <c r="C42" s="11">
        <v>30</v>
      </c>
      <c r="D42" s="12">
        <v>-2.7162000000000002</v>
      </c>
      <c r="E42" s="12">
        <v>-2.6189</v>
      </c>
      <c r="F42" s="39">
        <f t="shared" si="21"/>
        <v>9.7300000000000164E-2</v>
      </c>
      <c r="G42" s="40">
        <f t="shared" si="22"/>
        <v>9.7300000000000164E-2</v>
      </c>
      <c r="H42" s="41">
        <f t="shared" si="23"/>
        <v>3.5822104410573652E-2</v>
      </c>
      <c r="I42" s="12">
        <v>-4.0095999999999998</v>
      </c>
      <c r="J42" s="40">
        <f t="shared" si="24"/>
        <v>1.2933999999999997</v>
      </c>
      <c r="K42" s="41">
        <f t="shared" si="25"/>
        <v>0.47617995729327722</v>
      </c>
      <c r="L42" s="42">
        <f t="shared" si="26"/>
        <v>1.1960999999999995</v>
      </c>
      <c r="M42" s="12">
        <v>0.72260000000000002</v>
      </c>
      <c r="N42" s="12">
        <v>0.69840000000000002</v>
      </c>
      <c r="O42" s="39">
        <f t="shared" si="27"/>
        <v>-2.4199999999999999E-2</v>
      </c>
      <c r="P42" s="40">
        <f t="shared" si="28"/>
        <v>2.4199999999999999E-2</v>
      </c>
      <c r="Q42" s="41">
        <f t="shared" si="29"/>
        <v>3.3490174370329362E-2</v>
      </c>
      <c r="R42" s="12">
        <v>-1.5513999999999999</v>
      </c>
      <c r="S42" s="40">
        <f t="shared" si="30"/>
        <v>2.274</v>
      </c>
      <c r="T42" s="41">
        <f t="shared" si="31"/>
        <v>3.1469692776086355</v>
      </c>
      <c r="U42" s="42">
        <f t="shared" si="32"/>
        <v>2.2498</v>
      </c>
      <c r="V42" s="12">
        <v>0.69710000000000005</v>
      </c>
      <c r="W42" s="12">
        <v>0.67210000000000003</v>
      </c>
      <c r="X42" s="39">
        <f t="shared" si="33"/>
        <v>-2.5000000000000022E-2</v>
      </c>
      <c r="Y42" s="40">
        <f t="shared" si="34"/>
        <v>2.5000000000000022E-2</v>
      </c>
      <c r="Z42" s="41">
        <f t="shared" si="35"/>
        <v>3.5862860421747265E-2</v>
      </c>
      <c r="AA42" s="12">
        <v>0.44450000000000001</v>
      </c>
      <c r="AB42" s="40">
        <f t="shared" si="36"/>
        <v>0.25260000000000005</v>
      </c>
      <c r="AC42" s="41">
        <f t="shared" si="37"/>
        <v>0.36235834170133413</v>
      </c>
      <c r="AD42" s="42">
        <f t="shared" si="38"/>
        <v>0.22760000000000002</v>
      </c>
      <c r="AE42" s="13">
        <f t="shared" si="39"/>
        <v>4.8833333333333395E-2</v>
      </c>
      <c r="AF42" s="40">
        <f t="shared" si="40"/>
        <v>1.2733333333333332</v>
      </c>
      <c r="AG42" s="43">
        <f t="shared" si="41"/>
        <v>3.5058379734216764E-2</v>
      </c>
    </row>
    <row r="43" spans="1:33" ht="19" customHeight="1" x14ac:dyDescent="0.25">
      <c r="A43" s="2" t="s">
        <v>59</v>
      </c>
      <c r="B43" s="3">
        <v>1</v>
      </c>
      <c r="C43" s="4">
        <v>45</v>
      </c>
      <c r="D43" s="5">
        <v>-2.2930999999999999</v>
      </c>
      <c r="E43" s="5">
        <v>-2.2145000000000001</v>
      </c>
      <c r="F43" s="34">
        <f t="shared" si="21"/>
        <v>7.8599999999999781E-2</v>
      </c>
      <c r="G43" s="35">
        <f t="shared" si="22"/>
        <v>7.8599999999999781E-2</v>
      </c>
      <c r="H43" s="36">
        <f t="shared" si="23"/>
        <v>3.4276743273298063E-2</v>
      </c>
      <c r="I43" s="5">
        <v>-3.2738999999999998</v>
      </c>
      <c r="J43" s="35">
        <f t="shared" si="24"/>
        <v>0.98079999999999989</v>
      </c>
      <c r="K43" s="36">
        <f t="shared" si="25"/>
        <v>0.42771793641794947</v>
      </c>
      <c r="L43" s="37">
        <f t="shared" si="26"/>
        <v>0.90220000000000011</v>
      </c>
      <c r="M43" s="5">
        <v>10.7552</v>
      </c>
      <c r="N43" s="5">
        <v>10.214</v>
      </c>
      <c r="O43" s="34">
        <f t="shared" si="27"/>
        <v>-0.5411999999999999</v>
      </c>
      <c r="P43" s="35">
        <f t="shared" si="28"/>
        <v>0.5411999999999999</v>
      </c>
      <c r="Q43" s="36">
        <f t="shared" si="29"/>
        <v>5.0319845284141615E-2</v>
      </c>
      <c r="R43" s="5">
        <v>-2.2050000000000001</v>
      </c>
      <c r="S43" s="35">
        <f t="shared" si="30"/>
        <v>12.9602</v>
      </c>
      <c r="T43" s="36">
        <f t="shared" si="31"/>
        <v>1.2050171080035703</v>
      </c>
      <c r="U43" s="37">
        <f t="shared" si="32"/>
        <v>12.419</v>
      </c>
      <c r="V43" s="5">
        <v>0.34820000000000001</v>
      </c>
      <c r="W43" s="5">
        <v>0.33410000000000001</v>
      </c>
      <c r="X43" s="34">
        <f t="shared" si="33"/>
        <v>-1.4100000000000001E-2</v>
      </c>
      <c r="Y43" s="35">
        <f t="shared" si="34"/>
        <v>1.4100000000000001E-2</v>
      </c>
      <c r="Z43" s="36">
        <f t="shared" si="35"/>
        <v>4.0493968983342912E-2</v>
      </c>
      <c r="AA43" s="5">
        <v>0.63439999999999996</v>
      </c>
      <c r="AB43" s="35">
        <f t="shared" si="36"/>
        <v>0.28619999999999995</v>
      </c>
      <c r="AC43" s="36">
        <f t="shared" si="37"/>
        <v>0.82194141298104517</v>
      </c>
      <c r="AD43" s="37">
        <f t="shared" si="38"/>
        <v>0.27209999999999995</v>
      </c>
      <c r="AE43" s="6">
        <f t="shared" si="39"/>
        <v>0.2112999999999999</v>
      </c>
      <c r="AF43" s="35">
        <f t="shared" si="40"/>
        <v>4.7423999999999999</v>
      </c>
      <c r="AG43" s="38">
        <f t="shared" si="41"/>
        <v>4.1696852513594194E-2</v>
      </c>
    </row>
    <row r="44" spans="1:33" ht="19" customHeight="1" x14ac:dyDescent="0.25">
      <c r="A44" s="9" t="s">
        <v>60</v>
      </c>
      <c r="B44" s="10">
        <v>1</v>
      </c>
      <c r="C44" s="11">
        <v>60</v>
      </c>
      <c r="D44" s="12">
        <v>-1.8213999999999999</v>
      </c>
      <c r="E44" s="12">
        <v>-1.7541</v>
      </c>
      <c r="F44" s="39">
        <f t="shared" si="21"/>
        <v>6.7299999999999915E-2</v>
      </c>
      <c r="G44" s="40">
        <f t="shared" si="22"/>
        <v>6.7299999999999915E-2</v>
      </c>
      <c r="H44" s="41">
        <f t="shared" si="23"/>
        <v>3.6949599209399317E-2</v>
      </c>
      <c r="I44" s="12">
        <v>-2.3149999999999999</v>
      </c>
      <c r="J44" s="40">
        <f t="shared" si="24"/>
        <v>0.49360000000000004</v>
      </c>
      <c r="K44" s="41">
        <f t="shared" si="25"/>
        <v>0.27100032941693208</v>
      </c>
      <c r="L44" s="42">
        <f t="shared" si="26"/>
        <v>0.42630000000000012</v>
      </c>
      <c r="M44" s="12">
        <v>2.4529999999999998</v>
      </c>
      <c r="N44" s="12">
        <v>2.3812000000000002</v>
      </c>
      <c r="O44" s="39">
        <f t="shared" si="27"/>
        <v>-7.1799999999999642E-2</v>
      </c>
      <c r="P44" s="40">
        <f t="shared" si="28"/>
        <v>7.1799999999999642E-2</v>
      </c>
      <c r="Q44" s="41">
        <f t="shared" si="29"/>
        <v>2.9270281288218365E-2</v>
      </c>
      <c r="R44" s="12">
        <v>-2.6842999999999999</v>
      </c>
      <c r="S44" s="40">
        <f t="shared" si="30"/>
        <v>5.1372999999999998</v>
      </c>
      <c r="T44" s="41">
        <f t="shared" si="31"/>
        <v>2.0942927028128824</v>
      </c>
      <c r="U44" s="42">
        <f t="shared" si="32"/>
        <v>5.0655000000000001</v>
      </c>
      <c r="V44" s="12">
        <v>0.65100000000000002</v>
      </c>
      <c r="W44" s="12">
        <v>0.6321</v>
      </c>
      <c r="X44" s="39">
        <f t="shared" si="33"/>
        <v>-1.8900000000000028E-2</v>
      </c>
      <c r="Y44" s="40">
        <f t="shared" si="34"/>
        <v>1.8900000000000028E-2</v>
      </c>
      <c r="Z44" s="41">
        <f t="shared" si="35"/>
        <v>2.9032258064516172E-2</v>
      </c>
      <c r="AA44" s="12">
        <v>0.77</v>
      </c>
      <c r="AB44" s="40">
        <f t="shared" si="36"/>
        <v>0.11899999999999999</v>
      </c>
      <c r="AC44" s="41">
        <f t="shared" si="37"/>
        <v>0.18279569892473116</v>
      </c>
      <c r="AD44" s="42">
        <f t="shared" si="38"/>
        <v>0.10009999999999997</v>
      </c>
      <c r="AE44" s="13">
        <f t="shared" si="39"/>
        <v>5.2666666666666528E-2</v>
      </c>
      <c r="AF44" s="40">
        <f t="shared" si="40"/>
        <v>1.9166333333333332</v>
      </c>
      <c r="AG44" s="43">
        <f t="shared" si="41"/>
        <v>3.175071285404462E-2</v>
      </c>
    </row>
    <row r="45" spans="1:33" ht="19" customHeight="1" x14ac:dyDescent="0.25">
      <c r="A45" s="2" t="s">
        <v>61</v>
      </c>
      <c r="B45" s="3">
        <v>1</v>
      </c>
      <c r="C45" s="4">
        <v>75</v>
      </c>
      <c r="D45" s="5">
        <v>-0.45200000000000001</v>
      </c>
      <c r="E45" s="5">
        <v>-0.43580000000000002</v>
      </c>
      <c r="F45" s="34">
        <f t="shared" si="21"/>
        <v>1.6199999999999992E-2</v>
      </c>
      <c r="G45" s="35">
        <f t="shared" si="22"/>
        <v>1.6199999999999992E-2</v>
      </c>
      <c r="H45" s="36">
        <f t="shared" si="23"/>
        <v>3.5840707964601752E-2</v>
      </c>
      <c r="I45" s="5">
        <v>-1.1982999999999999</v>
      </c>
      <c r="J45" s="35">
        <f t="shared" si="24"/>
        <v>0.74629999999999996</v>
      </c>
      <c r="K45" s="36">
        <f t="shared" si="25"/>
        <v>1.6511061946902654</v>
      </c>
      <c r="L45" s="37">
        <f t="shared" si="26"/>
        <v>0.73009999999999997</v>
      </c>
      <c r="M45" s="5">
        <v>2.8940000000000001</v>
      </c>
      <c r="N45" s="5">
        <v>2.7953999999999999</v>
      </c>
      <c r="O45" s="34">
        <f t="shared" si="27"/>
        <v>-9.8600000000000243E-2</v>
      </c>
      <c r="P45" s="35">
        <f t="shared" si="28"/>
        <v>9.8600000000000243E-2</v>
      </c>
      <c r="Q45" s="36">
        <f t="shared" si="29"/>
        <v>3.4070490670352539E-2</v>
      </c>
      <c r="R45" s="5">
        <v>-2.9988999999999999</v>
      </c>
      <c r="S45" s="35">
        <f t="shared" si="30"/>
        <v>5.8929</v>
      </c>
      <c r="T45" s="36">
        <f t="shared" si="31"/>
        <v>2.0362474084312367</v>
      </c>
      <c r="U45" s="37">
        <f t="shared" si="32"/>
        <v>5.7942999999999998</v>
      </c>
      <c r="V45" s="5">
        <v>0.82299999999999995</v>
      </c>
      <c r="W45" s="5">
        <v>0.79810000000000003</v>
      </c>
      <c r="X45" s="34">
        <f t="shared" si="33"/>
        <v>-2.4899999999999922E-2</v>
      </c>
      <c r="Y45" s="35">
        <f t="shared" si="34"/>
        <v>2.4899999999999922E-2</v>
      </c>
      <c r="Z45" s="36">
        <f t="shared" si="35"/>
        <v>3.025516403402178E-2</v>
      </c>
      <c r="AA45" s="5">
        <v>0.85250000000000004</v>
      </c>
      <c r="AB45" s="35">
        <f t="shared" si="36"/>
        <v>2.9500000000000082E-2</v>
      </c>
      <c r="AC45" s="36">
        <f t="shared" si="37"/>
        <v>3.5844471445929629E-2</v>
      </c>
      <c r="AD45" s="37">
        <f t="shared" si="38"/>
        <v>4.6000000000001595E-3</v>
      </c>
      <c r="AE45" s="6">
        <f t="shared" si="39"/>
        <v>4.6566666666666721E-2</v>
      </c>
      <c r="AF45" s="35">
        <f t="shared" si="40"/>
        <v>2.2228999999999997</v>
      </c>
      <c r="AG45" s="38">
        <f t="shared" si="41"/>
        <v>3.3388787556325357E-2</v>
      </c>
    </row>
    <row r="46" spans="1:33" ht="19" customHeight="1" x14ac:dyDescent="0.25">
      <c r="A46" s="9" t="s">
        <v>62</v>
      </c>
      <c r="B46" s="10">
        <v>1</v>
      </c>
      <c r="C46" s="11">
        <v>90</v>
      </c>
      <c r="D46" s="12">
        <v>1.2E-2</v>
      </c>
      <c r="E46" s="12">
        <v>1.0500000000000001E-2</v>
      </c>
      <c r="F46" s="39">
        <f t="shared" si="21"/>
        <v>-1.4999999999999996E-3</v>
      </c>
      <c r="G46" s="40">
        <f t="shared" si="22"/>
        <v>1.4999999999999996E-3</v>
      </c>
      <c r="H46" s="41">
        <f t="shared" si="23"/>
        <v>8.7630130744155045E-5</v>
      </c>
      <c r="I46" s="12">
        <v>0</v>
      </c>
      <c r="J46" s="40">
        <f t="shared" si="24"/>
        <v>1.2E-2</v>
      </c>
      <c r="K46" s="41">
        <f t="shared" si="25"/>
        <v>7.0104104595324057E-4</v>
      </c>
      <c r="L46" s="42">
        <f t="shared" si="26"/>
        <v>1.0500000000000001E-2</v>
      </c>
      <c r="M46" s="12">
        <v>3.4209999999999998</v>
      </c>
      <c r="N46" s="12">
        <v>3.3119999999999998</v>
      </c>
      <c r="O46" s="39">
        <f t="shared" si="27"/>
        <v>-0.10899999999999999</v>
      </c>
      <c r="P46" s="40">
        <f t="shared" si="28"/>
        <v>0.10899999999999999</v>
      </c>
      <c r="Q46" s="41">
        <f t="shared" si="29"/>
        <v>3.1862028646594563E-2</v>
      </c>
      <c r="R46" s="12">
        <v>-3.1046999999999998</v>
      </c>
      <c r="S46" s="40">
        <f t="shared" si="30"/>
        <v>6.5256999999999996</v>
      </c>
      <c r="T46" s="41">
        <f t="shared" si="31"/>
        <v>1.9075416544869921</v>
      </c>
      <c r="U46" s="42">
        <f t="shared" si="32"/>
        <v>6.4166999999999996</v>
      </c>
      <c r="V46" s="12">
        <v>0.98499999999999999</v>
      </c>
      <c r="W46" s="12">
        <v>0.95420000000000005</v>
      </c>
      <c r="X46" s="39">
        <f t="shared" si="33"/>
        <v>-3.0799999999999939E-2</v>
      </c>
      <c r="Y46" s="40">
        <f t="shared" si="34"/>
        <v>3.0799999999999939E-2</v>
      </c>
      <c r="Z46" s="41">
        <f t="shared" si="35"/>
        <v>3.1269035532994864E-2</v>
      </c>
      <c r="AA46" s="12">
        <v>0.88</v>
      </c>
      <c r="AB46" s="40">
        <f t="shared" si="36"/>
        <v>0.10499999999999998</v>
      </c>
      <c r="AC46" s="41">
        <f t="shared" si="37"/>
        <v>0.10659898477157359</v>
      </c>
      <c r="AD46" s="42">
        <f t="shared" si="38"/>
        <v>7.4200000000000044E-2</v>
      </c>
      <c r="AE46" s="13">
        <f t="shared" si="39"/>
        <v>4.7099999999999975E-2</v>
      </c>
      <c r="AF46" s="40">
        <f t="shared" si="40"/>
        <v>2.2142333333333331</v>
      </c>
      <c r="AG46" s="43">
        <f t="shared" si="41"/>
        <v>2.1072898103444527E-2</v>
      </c>
    </row>
    <row r="47" spans="1:33" ht="19" customHeight="1" x14ac:dyDescent="0.25">
      <c r="A47" s="2" t="s">
        <v>63</v>
      </c>
      <c r="B47" s="3">
        <v>0.25</v>
      </c>
      <c r="C47" s="4">
        <v>0</v>
      </c>
      <c r="D47" s="5">
        <v>-0.191</v>
      </c>
      <c r="E47" s="5">
        <v>-0.1852</v>
      </c>
      <c r="F47" s="34">
        <f t="shared" si="21"/>
        <v>5.7999999999999996E-3</v>
      </c>
      <c r="G47" s="35">
        <f t="shared" si="22"/>
        <v>5.7999999999999996E-3</v>
      </c>
      <c r="H47" s="36">
        <f t="shared" si="23"/>
        <v>3.0366492146596855E-2</v>
      </c>
      <c r="I47" s="5">
        <v>-0.28939999999999999</v>
      </c>
      <c r="J47" s="35">
        <f t="shared" si="24"/>
        <v>9.8399999999999987E-2</v>
      </c>
      <c r="K47" s="36">
        <f t="shared" si="25"/>
        <v>0.51518324607329835</v>
      </c>
      <c r="L47" s="37">
        <f t="shared" si="26"/>
        <v>9.2599999999999988E-2</v>
      </c>
      <c r="M47" s="5">
        <v>2.0799999999999999E-2</v>
      </c>
      <c r="N47" s="5">
        <v>1.95E-2</v>
      </c>
      <c r="O47" s="34">
        <f t="shared" si="27"/>
        <v>-1.2999999999999991E-3</v>
      </c>
      <c r="P47" s="35">
        <f t="shared" si="28"/>
        <v>1.2999999999999991E-3</v>
      </c>
      <c r="Q47" s="36">
        <f t="shared" si="29"/>
        <v>3.7835131957298657E-5</v>
      </c>
      <c r="R47" s="5">
        <v>0</v>
      </c>
      <c r="S47" s="35">
        <f t="shared" si="30"/>
        <v>2.0799999999999999E-2</v>
      </c>
      <c r="T47" s="36">
        <f t="shared" si="31"/>
        <v>6.0536211131677895E-4</v>
      </c>
      <c r="U47" s="37">
        <f t="shared" si="32"/>
        <v>1.95E-2</v>
      </c>
      <c r="V47" s="5">
        <v>-5.1400000000000001E-2</v>
      </c>
      <c r="W47" s="5">
        <v>-4.9799999999999997E-2</v>
      </c>
      <c r="X47" s="34">
        <f t="shared" si="33"/>
        <v>1.6000000000000042E-3</v>
      </c>
      <c r="Y47" s="35">
        <f t="shared" si="34"/>
        <v>1.6000000000000042E-3</v>
      </c>
      <c r="Z47" s="36">
        <f t="shared" si="35"/>
        <v>3.1128404669260781E-2</v>
      </c>
      <c r="AA47" s="5">
        <v>0</v>
      </c>
      <c r="AB47" s="35">
        <f t="shared" si="36"/>
        <v>5.1400000000000001E-2</v>
      </c>
      <c r="AC47" s="36">
        <f t="shared" si="37"/>
        <v>1</v>
      </c>
      <c r="AD47" s="37">
        <f t="shared" si="38"/>
        <v>4.9799999999999997E-2</v>
      </c>
      <c r="AE47" s="6">
        <f t="shared" si="39"/>
        <v>2.9000000000000011E-3</v>
      </c>
      <c r="AF47" s="35">
        <f t="shared" si="40"/>
        <v>5.6866666666666656E-2</v>
      </c>
      <c r="AG47" s="38">
        <f t="shared" si="41"/>
        <v>2.0510910649271644E-2</v>
      </c>
    </row>
    <row r="48" spans="1:33" ht="19" customHeight="1" x14ac:dyDescent="0.25">
      <c r="A48" s="9" t="s">
        <v>64</v>
      </c>
      <c r="B48" s="10">
        <v>0.25</v>
      </c>
      <c r="C48" s="11">
        <v>30</v>
      </c>
      <c r="D48" s="12">
        <v>-0.39860000000000001</v>
      </c>
      <c r="E48" s="12">
        <v>-0.38540000000000002</v>
      </c>
      <c r="F48" s="39">
        <f t="shared" si="21"/>
        <v>1.319999999999999E-2</v>
      </c>
      <c r="G48" s="40">
        <f t="shared" si="22"/>
        <v>1.319999999999999E-2</v>
      </c>
      <c r="H48" s="41">
        <f t="shared" si="23"/>
        <v>3.3115905669844431E-2</v>
      </c>
      <c r="I48" s="12">
        <v>-0.25059999999999999</v>
      </c>
      <c r="J48" s="40">
        <f t="shared" si="24"/>
        <v>0.14800000000000002</v>
      </c>
      <c r="K48" s="41">
        <f t="shared" si="25"/>
        <v>0.37129954841946816</v>
      </c>
      <c r="L48" s="42">
        <f t="shared" si="26"/>
        <v>0.13480000000000003</v>
      </c>
      <c r="M48" s="12">
        <v>-8.6999999999999994E-3</v>
      </c>
      <c r="N48" s="12">
        <v>-8.0999999999999996E-3</v>
      </c>
      <c r="O48" s="39">
        <f t="shared" si="27"/>
        <v>5.9999999999999984E-4</v>
      </c>
      <c r="P48" s="40">
        <f t="shared" si="28"/>
        <v>5.9999999999999984E-4</v>
      </c>
      <c r="Q48" s="41">
        <f t="shared" si="29"/>
        <v>1.7462368595676313E-5</v>
      </c>
      <c r="R48" s="12">
        <v>-9.7000000000000003E-2</v>
      </c>
      <c r="S48" s="40">
        <f t="shared" si="30"/>
        <v>8.8300000000000003E-2</v>
      </c>
      <c r="T48" s="41">
        <f t="shared" si="31"/>
        <v>2.5698785783303648E-3</v>
      </c>
      <c r="U48" s="42">
        <f t="shared" si="32"/>
        <v>8.77E-2</v>
      </c>
      <c r="V48" s="12">
        <v>0.26140000000000002</v>
      </c>
      <c r="W48" s="12">
        <v>0.25409999999999999</v>
      </c>
      <c r="X48" s="39">
        <f t="shared" si="33"/>
        <v>-7.3000000000000287E-3</v>
      </c>
      <c r="Y48" s="40">
        <f t="shared" si="34"/>
        <v>7.3000000000000287E-3</v>
      </c>
      <c r="Z48" s="41">
        <f t="shared" si="35"/>
        <v>2.7926549349655806E-2</v>
      </c>
      <c r="AA48" s="12">
        <v>2.7799999999999998E-2</v>
      </c>
      <c r="AB48" s="40">
        <f t="shared" si="36"/>
        <v>0.23360000000000003</v>
      </c>
      <c r="AC48" s="41">
        <f t="shared" si="37"/>
        <v>0.89364957918898247</v>
      </c>
      <c r="AD48" s="42">
        <f t="shared" si="38"/>
        <v>0.2263</v>
      </c>
      <c r="AE48" s="13">
        <f t="shared" si="39"/>
        <v>7.0333333333333393E-3</v>
      </c>
      <c r="AF48" s="40">
        <f t="shared" si="40"/>
        <v>0.15663333333333335</v>
      </c>
      <c r="AG48" s="43">
        <f t="shared" si="41"/>
        <v>2.0353305796031972E-2</v>
      </c>
    </row>
    <row r="49" spans="1:33" ht="19" customHeight="1" x14ac:dyDescent="0.25">
      <c r="A49" s="2" t="s">
        <v>65</v>
      </c>
      <c r="B49" s="3">
        <v>0.25</v>
      </c>
      <c r="C49" s="4">
        <v>45</v>
      </c>
      <c r="D49" s="5">
        <v>4.5644</v>
      </c>
      <c r="E49" s="5">
        <v>4.3852000000000002</v>
      </c>
      <c r="F49" s="34">
        <f t="shared" si="21"/>
        <v>-0.1791999999999998</v>
      </c>
      <c r="G49" s="35">
        <f t="shared" si="22"/>
        <v>0.1791999999999998</v>
      </c>
      <c r="H49" s="36">
        <f t="shared" si="23"/>
        <v>3.9260362807816973E-2</v>
      </c>
      <c r="I49" s="5">
        <v>-0.2046</v>
      </c>
      <c r="J49" s="35">
        <f t="shared" si="24"/>
        <v>4.7690000000000001</v>
      </c>
      <c r="K49" s="36">
        <f t="shared" si="25"/>
        <v>1.0448251686968715</v>
      </c>
      <c r="L49" s="37">
        <f t="shared" si="26"/>
        <v>4.5898000000000003</v>
      </c>
      <c r="M49" s="5">
        <v>-1.1719999999999999</v>
      </c>
      <c r="N49" s="5">
        <v>-1.1214</v>
      </c>
      <c r="O49" s="34">
        <f t="shared" si="27"/>
        <v>5.0599999999999978E-2</v>
      </c>
      <c r="P49" s="35">
        <f t="shared" si="28"/>
        <v>5.0599999999999978E-2</v>
      </c>
      <c r="Q49" s="36">
        <f t="shared" si="29"/>
        <v>4.3174061433447083E-2</v>
      </c>
      <c r="R49" s="5">
        <v>-0.13780000000000001</v>
      </c>
      <c r="S49" s="35">
        <f t="shared" si="30"/>
        <v>1.0342</v>
      </c>
      <c r="T49" s="36">
        <f t="shared" si="31"/>
        <v>0.8824232081911263</v>
      </c>
      <c r="U49" s="37">
        <f t="shared" si="32"/>
        <v>0.98360000000000003</v>
      </c>
      <c r="V49" s="5">
        <v>6.9500000000000006E-2</v>
      </c>
      <c r="W49" s="5">
        <v>6.7400000000000002E-2</v>
      </c>
      <c r="X49" s="34">
        <f t="shared" si="33"/>
        <v>-2.1000000000000046E-3</v>
      </c>
      <c r="Y49" s="35">
        <f t="shared" si="34"/>
        <v>2.1000000000000046E-3</v>
      </c>
      <c r="Z49" s="36">
        <f t="shared" si="35"/>
        <v>3.021582733812956E-2</v>
      </c>
      <c r="AA49" s="5">
        <v>3.9600000000000003E-2</v>
      </c>
      <c r="AB49" s="35">
        <f t="shared" si="36"/>
        <v>2.9900000000000003E-2</v>
      </c>
      <c r="AC49" s="36">
        <f t="shared" si="37"/>
        <v>0.43021582733812952</v>
      </c>
      <c r="AD49" s="37">
        <f t="shared" si="38"/>
        <v>2.7799999999999998E-2</v>
      </c>
      <c r="AE49" s="6">
        <f t="shared" si="39"/>
        <v>7.7299999999999924E-2</v>
      </c>
      <c r="AF49" s="35">
        <f t="shared" si="40"/>
        <v>1.9443666666666666</v>
      </c>
      <c r="AG49" s="38">
        <f t="shared" si="41"/>
        <v>3.7550083859797877E-2</v>
      </c>
    </row>
    <row r="50" spans="1:33" ht="19" customHeight="1" x14ac:dyDescent="0.25">
      <c r="A50" s="9" t="s">
        <v>66</v>
      </c>
      <c r="B50" s="10">
        <v>0.25</v>
      </c>
      <c r="C50" s="11">
        <v>60</v>
      </c>
      <c r="D50" s="12">
        <v>-0.12559999999999999</v>
      </c>
      <c r="E50" s="12">
        <v>-0.12039999999999999</v>
      </c>
      <c r="F50" s="39">
        <f t="shared" si="21"/>
        <v>5.1999999999999963E-3</v>
      </c>
      <c r="G50" s="40">
        <f t="shared" si="22"/>
        <v>5.1999999999999963E-3</v>
      </c>
      <c r="H50" s="41">
        <f t="shared" si="23"/>
        <v>4.1401273885350295E-2</v>
      </c>
      <c r="I50" s="12">
        <v>-0.1447</v>
      </c>
      <c r="J50" s="40">
        <f t="shared" si="24"/>
        <v>1.9100000000000006E-2</v>
      </c>
      <c r="K50" s="41">
        <f t="shared" si="25"/>
        <v>0.15207006369426757</v>
      </c>
      <c r="L50" s="42">
        <f t="shared" si="26"/>
        <v>1.390000000000001E-2</v>
      </c>
      <c r="M50" s="12">
        <v>-8.1900000000000001E-2</v>
      </c>
      <c r="N50" s="12">
        <v>-7.8399999999999997E-2</v>
      </c>
      <c r="O50" s="39">
        <f t="shared" si="27"/>
        <v>3.5000000000000031E-3</v>
      </c>
      <c r="P50" s="40">
        <f t="shared" si="28"/>
        <v>3.5000000000000031E-3</v>
      </c>
      <c r="Q50" s="41">
        <f t="shared" si="29"/>
        <v>4.2735042735042771E-2</v>
      </c>
      <c r="R50" s="12">
        <v>-0.1678</v>
      </c>
      <c r="S50" s="40">
        <f t="shared" si="30"/>
        <v>8.5900000000000004E-2</v>
      </c>
      <c r="T50" s="41">
        <f t="shared" si="31"/>
        <v>1.0488400488400489</v>
      </c>
      <c r="U50" s="42">
        <f t="shared" si="32"/>
        <v>8.2400000000000001E-2</v>
      </c>
      <c r="V50" s="12">
        <v>0.44109999999999999</v>
      </c>
      <c r="W50" s="12">
        <v>0.42870000000000003</v>
      </c>
      <c r="X50" s="39">
        <f t="shared" si="33"/>
        <v>-1.2399999999999967E-2</v>
      </c>
      <c r="Y50" s="40">
        <f t="shared" si="34"/>
        <v>1.2399999999999967E-2</v>
      </c>
      <c r="Z50" s="41">
        <f t="shared" si="35"/>
        <v>2.8111539333484394E-2</v>
      </c>
      <c r="AA50" s="12">
        <v>4.8099999999999997E-2</v>
      </c>
      <c r="AB50" s="40">
        <f t="shared" si="36"/>
        <v>0.39300000000000002</v>
      </c>
      <c r="AC50" s="41">
        <f t="shared" si="37"/>
        <v>0.89095443210156433</v>
      </c>
      <c r="AD50" s="42">
        <f t="shared" si="38"/>
        <v>0.38060000000000005</v>
      </c>
      <c r="AE50" s="13">
        <f t="shared" si="39"/>
        <v>7.033333333333322E-3</v>
      </c>
      <c r="AF50" s="40">
        <f t="shared" si="40"/>
        <v>0.16600000000000001</v>
      </c>
      <c r="AG50" s="43">
        <f t="shared" si="41"/>
        <v>3.7415951984625821E-2</v>
      </c>
    </row>
    <row r="51" spans="1:33" ht="19" customHeight="1" x14ac:dyDescent="0.25">
      <c r="A51" s="2" t="s">
        <v>67</v>
      </c>
      <c r="B51" s="3">
        <v>0.25</v>
      </c>
      <c r="C51" s="4">
        <v>90</v>
      </c>
      <c r="D51" s="5">
        <v>8.1310000000000002</v>
      </c>
      <c r="E51" s="5">
        <v>7.8213999999999997</v>
      </c>
      <c r="F51" s="34">
        <f t="shared" si="21"/>
        <v>-0.30960000000000054</v>
      </c>
      <c r="G51" s="35">
        <f t="shared" si="22"/>
        <v>0.30960000000000054</v>
      </c>
      <c r="H51" s="36">
        <f t="shared" si="23"/>
        <v>3.8076497355798863E-2</v>
      </c>
      <c r="I51" s="5">
        <v>0</v>
      </c>
      <c r="J51" s="35">
        <f t="shared" si="24"/>
        <v>8.1310000000000002</v>
      </c>
      <c r="K51" s="36">
        <f t="shared" si="25"/>
        <v>1</v>
      </c>
      <c r="L51" s="37">
        <f t="shared" si="26"/>
        <v>7.8213999999999997</v>
      </c>
      <c r="M51" s="5">
        <v>-4.4512999999999998</v>
      </c>
      <c r="N51" s="5">
        <v>-4.2813999999999997</v>
      </c>
      <c r="O51" s="34">
        <f t="shared" si="27"/>
        <v>0.16990000000000016</v>
      </c>
      <c r="P51" s="35">
        <f t="shared" si="28"/>
        <v>0.16990000000000016</v>
      </c>
      <c r="Q51" s="36">
        <f t="shared" si="29"/>
        <v>3.8168624896097805E-2</v>
      </c>
      <c r="R51" s="5">
        <v>-0.19400000000000001</v>
      </c>
      <c r="S51" s="35">
        <f t="shared" si="30"/>
        <v>4.2572999999999999</v>
      </c>
      <c r="T51" s="36">
        <f t="shared" si="31"/>
        <v>0.95641722642823446</v>
      </c>
      <c r="U51" s="37">
        <f t="shared" si="32"/>
        <v>4.0873999999999997</v>
      </c>
      <c r="V51" s="5">
        <v>3.3700000000000001E-2</v>
      </c>
      <c r="W51" s="5">
        <v>3.2099999999999997E-2</v>
      </c>
      <c r="X51" s="34">
        <f t="shared" si="33"/>
        <v>-1.6000000000000042E-3</v>
      </c>
      <c r="Y51" s="35">
        <f t="shared" si="34"/>
        <v>1.6000000000000042E-3</v>
      </c>
      <c r="Z51" s="36">
        <f t="shared" si="35"/>
        <v>2.7201632097925948E-4</v>
      </c>
      <c r="AA51" s="5">
        <v>5.5E-2</v>
      </c>
      <c r="AB51" s="35">
        <f t="shared" si="36"/>
        <v>2.1299999999999999E-2</v>
      </c>
      <c r="AC51" s="36">
        <f t="shared" si="37"/>
        <v>3.6212172730363825E-3</v>
      </c>
      <c r="AD51" s="37">
        <f t="shared" si="38"/>
        <v>1.9699999999999995E-2</v>
      </c>
      <c r="AE51" s="6">
        <f t="shared" si="39"/>
        <v>0.16036666666666691</v>
      </c>
      <c r="AF51" s="35">
        <f t="shared" si="40"/>
        <v>4.1365333333333334</v>
      </c>
      <c r="AG51" s="38">
        <f t="shared" si="41"/>
        <v>2.5505712857625307E-2</v>
      </c>
    </row>
    <row r="52" spans="1:33" ht="19" customHeight="1" x14ac:dyDescent="0.25">
      <c r="A52" s="9" t="s">
        <v>68</v>
      </c>
      <c r="B52" s="10">
        <v>0.5</v>
      </c>
      <c r="C52" s="11">
        <v>0</v>
      </c>
      <c r="D52" s="12">
        <v>-1.006</v>
      </c>
      <c r="E52" s="12">
        <v>-0.97540000000000004</v>
      </c>
      <c r="F52" s="39">
        <f t="shared" si="21"/>
        <v>3.0599999999999961E-2</v>
      </c>
      <c r="G52" s="40">
        <f t="shared" si="22"/>
        <v>3.0599999999999961E-2</v>
      </c>
      <c r="H52" s="41">
        <f t="shared" si="23"/>
        <v>3.0417495029821034E-2</v>
      </c>
      <c r="I52" s="12">
        <v>-1.1575</v>
      </c>
      <c r="J52" s="40">
        <f t="shared" si="24"/>
        <v>0.15149999999999997</v>
      </c>
      <c r="K52" s="41">
        <f t="shared" si="25"/>
        <v>0.15059642147117294</v>
      </c>
      <c r="L52" s="42">
        <f t="shared" si="26"/>
        <v>0.12090000000000001</v>
      </c>
      <c r="M52" s="12">
        <v>-0.22900000000000001</v>
      </c>
      <c r="N52" s="12">
        <v>-0.2198</v>
      </c>
      <c r="O52" s="39">
        <f t="shared" si="27"/>
        <v>9.2000000000000137E-3</v>
      </c>
      <c r="P52" s="40">
        <f t="shared" si="28"/>
        <v>9.2000000000000137E-3</v>
      </c>
      <c r="Q52" s="41">
        <f t="shared" si="29"/>
        <v>4.0174672489083026E-2</v>
      </c>
      <c r="R52" s="12">
        <v>0</v>
      </c>
      <c r="S52" s="40">
        <f t="shared" si="30"/>
        <v>0.22900000000000001</v>
      </c>
      <c r="T52" s="41">
        <f t="shared" si="31"/>
        <v>1</v>
      </c>
      <c r="U52" s="42">
        <f t="shared" si="32"/>
        <v>0.2198</v>
      </c>
      <c r="V52" s="12">
        <v>-0.2094</v>
      </c>
      <c r="W52" s="12">
        <v>-0.2014</v>
      </c>
      <c r="X52" s="39">
        <f t="shared" si="33"/>
        <v>8.0000000000000071E-3</v>
      </c>
      <c r="Y52" s="40">
        <f t="shared" si="34"/>
        <v>8.0000000000000071E-3</v>
      </c>
      <c r="Z52" s="41">
        <f t="shared" si="35"/>
        <v>3.8204393505253134E-2</v>
      </c>
      <c r="AA52" s="12">
        <v>0</v>
      </c>
      <c r="AB52" s="40">
        <f t="shared" si="36"/>
        <v>0.2094</v>
      </c>
      <c r="AC52" s="41">
        <f t="shared" si="37"/>
        <v>1</v>
      </c>
      <c r="AD52" s="42">
        <f t="shared" si="38"/>
        <v>0.2014</v>
      </c>
      <c r="AE52" s="13">
        <f t="shared" si="39"/>
        <v>1.5933333333333327E-2</v>
      </c>
      <c r="AF52" s="40">
        <f t="shared" si="40"/>
        <v>0.19663333333333333</v>
      </c>
      <c r="AG52" s="43">
        <f t="shared" si="41"/>
        <v>3.6265520341385728E-2</v>
      </c>
    </row>
    <row r="53" spans="1:33" ht="19" customHeight="1" x14ac:dyDescent="0.25">
      <c r="A53" s="2" t="s">
        <v>69</v>
      </c>
      <c r="B53" s="3">
        <v>0.5</v>
      </c>
      <c r="C53" s="4">
        <v>30</v>
      </c>
      <c r="D53" s="5">
        <v>-1.0716000000000001</v>
      </c>
      <c r="E53" s="5">
        <v>-1.0341</v>
      </c>
      <c r="F53" s="34">
        <f t="shared" si="21"/>
        <v>3.7500000000000089E-2</v>
      </c>
      <c r="G53" s="35">
        <f t="shared" si="22"/>
        <v>3.7500000000000089E-2</v>
      </c>
      <c r="H53" s="36">
        <f t="shared" si="23"/>
        <v>3.4994400895856745E-2</v>
      </c>
      <c r="I53" s="5">
        <v>-1.0024</v>
      </c>
      <c r="J53" s="35">
        <f t="shared" si="24"/>
        <v>6.920000000000015E-2</v>
      </c>
      <c r="K53" s="36">
        <f t="shared" si="25"/>
        <v>6.4576334453154291E-2</v>
      </c>
      <c r="L53" s="37">
        <f t="shared" si="26"/>
        <v>3.1700000000000061E-2</v>
      </c>
      <c r="M53" s="5">
        <v>4.65E-2</v>
      </c>
      <c r="N53" s="5">
        <v>4.41E-2</v>
      </c>
      <c r="O53" s="34">
        <f t="shared" si="27"/>
        <v>-2.3999999999999994E-3</v>
      </c>
      <c r="P53" s="35">
        <f t="shared" si="28"/>
        <v>2.3999999999999994E-3</v>
      </c>
      <c r="Q53" s="36">
        <f t="shared" si="29"/>
        <v>6.9849474382705252E-5</v>
      </c>
      <c r="R53" s="5">
        <v>-0.38790000000000002</v>
      </c>
      <c r="S53" s="35">
        <f t="shared" si="30"/>
        <v>0.43440000000000001</v>
      </c>
      <c r="T53" s="36">
        <f t="shared" si="31"/>
        <v>1.2642754863269655E-2</v>
      </c>
      <c r="U53" s="37">
        <f t="shared" si="32"/>
        <v>0.432</v>
      </c>
      <c r="V53" s="5">
        <v>0.52829999999999999</v>
      </c>
      <c r="W53" s="5">
        <v>0.51239999999999997</v>
      </c>
      <c r="X53" s="34">
        <f t="shared" si="33"/>
        <v>-1.5900000000000025E-2</v>
      </c>
      <c r="Y53" s="35">
        <f t="shared" si="34"/>
        <v>1.5900000000000025E-2</v>
      </c>
      <c r="Z53" s="36">
        <f t="shared" si="35"/>
        <v>3.0096536059057401E-2</v>
      </c>
      <c r="AA53" s="5">
        <v>0.1111</v>
      </c>
      <c r="AB53" s="35">
        <f t="shared" si="36"/>
        <v>0.41720000000000002</v>
      </c>
      <c r="AC53" s="36">
        <f t="shared" si="37"/>
        <v>0.78970282036721562</v>
      </c>
      <c r="AD53" s="37">
        <f t="shared" si="38"/>
        <v>0.40129999999999999</v>
      </c>
      <c r="AE53" s="6">
        <f t="shared" si="39"/>
        <v>1.8600000000000037E-2</v>
      </c>
      <c r="AF53" s="35">
        <f t="shared" si="40"/>
        <v>0.30693333333333339</v>
      </c>
      <c r="AG53" s="38">
        <f t="shared" si="41"/>
        <v>2.172026214309895E-2</v>
      </c>
    </row>
    <row r="54" spans="1:33" ht="19" customHeight="1" x14ac:dyDescent="0.25">
      <c r="A54" s="9" t="s">
        <v>70</v>
      </c>
      <c r="B54" s="10">
        <v>0.5</v>
      </c>
      <c r="C54" s="11">
        <v>45</v>
      </c>
      <c r="D54" s="12">
        <v>7.2058</v>
      </c>
      <c r="E54" s="12">
        <v>6.9412000000000003</v>
      </c>
      <c r="F54" s="39">
        <f t="shared" si="21"/>
        <v>-0.26459999999999972</v>
      </c>
      <c r="G54" s="40">
        <f t="shared" si="22"/>
        <v>0.26459999999999972</v>
      </c>
      <c r="H54" s="41">
        <f t="shared" si="23"/>
        <v>3.6720419661938952E-2</v>
      </c>
      <c r="I54" s="12">
        <v>-0.81850000000000001</v>
      </c>
      <c r="J54" s="40">
        <f t="shared" si="24"/>
        <v>8.0243000000000002</v>
      </c>
      <c r="K54" s="41">
        <f t="shared" si="25"/>
        <v>1.1135890532626496</v>
      </c>
      <c r="L54" s="42">
        <f t="shared" si="26"/>
        <v>7.7597000000000005</v>
      </c>
      <c r="M54" s="12">
        <v>9.3284000000000002</v>
      </c>
      <c r="N54" s="12">
        <v>8.9854000000000003</v>
      </c>
      <c r="O54" s="39">
        <f t="shared" si="27"/>
        <v>-0.34299999999999997</v>
      </c>
      <c r="P54" s="40">
        <f t="shared" si="28"/>
        <v>0.34299999999999997</v>
      </c>
      <c r="Q54" s="41">
        <f t="shared" si="29"/>
        <v>3.6769435272929973E-2</v>
      </c>
      <c r="R54" s="12">
        <v>-0.55120000000000002</v>
      </c>
      <c r="S54" s="40">
        <f t="shared" si="30"/>
        <v>9.8795999999999999</v>
      </c>
      <c r="T54" s="41">
        <f t="shared" si="31"/>
        <v>1.0590883752840787</v>
      </c>
      <c r="U54" s="42">
        <f t="shared" si="32"/>
        <v>9.5366</v>
      </c>
      <c r="V54" s="12">
        <v>-9.3299999999999994E-2</v>
      </c>
      <c r="W54" s="12">
        <v>-8.9499999999999996E-2</v>
      </c>
      <c r="X54" s="39">
        <f t="shared" si="33"/>
        <v>3.7999999999999978E-3</v>
      </c>
      <c r="Y54" s="40">
        <f t="shared" si="34"/>
        <v>3.7999999999999978E-3</v>
      </c>
      <c r="Z54" s="41">
        <f t="shared" si="35"/>
        <v>4.0728831725616269E-2</v>
      </c>
      <c r="AA54" s="12">
        <v>0.15859999999999999</v>
      </c>
      <c r="AB54" s="40">
        <f t="shared" si="36"/>
        <v>0.25190000000000001</v>
      </c>
      <c r="AC54" s="41">
        <f t="shared" si="37"/>
        <v>2.6998928188638804</v>
      </c>
      <c r="AD54" s="42">
        <f t="shared" si="38"/>
        <v>0.24810000000000001</v>
      </c>
      <c r="AE54" s="13">
        <f t="shared" si="39"/>
        <v>0.2037999999999999</v>
      </c>
      <c r="AF54" s="40">
        <f t="shared" si="40"/>
        <v>6.0519333333333334</v>
      </c>
      <c r="AG54" s="43">
        <f t="shared" si="41"/>
        <v>3.8072895553495065E-2</v>
      </c>
    </row>
    <row r="55" spans="1:33" ht="19" customHeight="1" x14ac:dyDescent="0.25">
      <c r="A55" s="2" t="s">
        <v>71</v>
      </c>
      <c r="B55" s="3">
        <v>0.5</v>
      </c>
      <c r="C55" s="4">
        <v>60</v>
      </c>
      <c r="D55" s="5">
        <v>-0.46100000000000002</v>
      </c>
      <c r="E55" s="5">
        <v>-0.44519999999999998</v>
      </c>
      <c r="F55" s="34">
        <f t="shared" si="21"/>
        <v>1.5800000000000036E-2</v>
      </c>
      <c r="G55" s="35">
        <f t="shared" si="22"/>
        <v>1.5800000000000036E-2</v>
      </c>
      <c r="H55" s="36">
        <f t="shared" si="23"/>
        <v>3.4273318872017428E-2</v>
      </c>
      <c r="I55" s="5">
        <v>-0.57879999999999998</v>
      </c>
      <c r="J55" s="35">
        <f t="shared" si="24"/>
        <v>0.11779999999999996</v>
      </c>
      <c r="K55" s="36">
        <f t="shared" si="25"/>
        <v>0.25553145336225586</v>
      </c>
      <c r="L55" s="37">
        <f t="shared" si="26"/>
        <v>0.10199999999999992</v>
      </c>
      <c r="M55" s="5">
        <v>0.13370000000000001</v>
      </c>
      <c r="N55" s="5">
        <v>0.12870000000000001</v>
      </c>
      <c r="O55" s="34">
        <f t="shared" si="27"/>
        <v>-5.0000000000000044E-3</v>
      </c>
      <c r="P55" s="35">
        <f t="shared" si="28"/>
        <v>5.0000000000000044E-3</v>
      </c>
      <c r="Q55" s="36">
        <f t="shared" si="29"/>
        <v>3.7397157816006013E-2</v>
      </c>
      <c r="R55" s="5">
        <v>-0.67110000000000003</v>
      </c>
      <c r="S55" s="35">
        <f t="shared" si="30"/>
        <v>0.80480000000000007</v>
      </c>
      <c r="T55" s="36">
        <f t="shared" si="31"/>
        <v>6.0194465220643227</v>
      </c>
      <c r="U55" s="37">
        <f t="shared" si="32"/>
        <v>0.79980000000000007</v>
      </c>
      <c r="V55" s="5">
        <v>1.0646</v>
      </c>
      <c r="W55" s="5">
        <v>1.0321</v>
      </c>
      <c r="X55" s="34">
        <f t="shared" si="33"/>
        <v>-3.2499999999999973E-2</v>
      </c>
      <c r="Y55" s="35">
        <f t="shared" si="34"/>
        <v>3.2499999999999973E-2</v>
      </c>
      <c r="Z55" s="36">
        <f t="shared" si="35"/>
        <v>3.0527897801991333E-2</v>
      </c>
      <c r="AA55" s="5">
        <v>0.1925</v>
      </c>
      <c r="AB55" s="35">
        <f t="shared" si="36"/>
        <v>0.87209999999999999</v>
      </c>
      <c r="AC55" s="36">
        <f t="shared" si="37"/>
        <v>0.81918091301897422</v>
      </c>
      <c r="AD55" s="37">
        <f t="shared" si="38"/>
        <v>0.83960000000000001</v>
      </c>
      <c r="AE55" s="6">
        <f t="shared" si="39"/>
        <v>1.776666666666667E-2</v>
      </c>
      <c r="AF55" s="35">
        <f t="shared" si="40"/>
        <v>0.59823333333333339</v>
      </c>
      <c r="AG55" s="38">
        <f t="shared" si="41"/>
        <v>3.4066124830004922E-2</v>
      </c>
    </row>
    <row r="56" spans="1:33" ht="19" customHeight="1" x14ac:dyDescent="0.25">
      <c r="A56" s="9" t="s">
        <v>72</v>
      </c>
      <c r="B56" s="10">
        <v>0.5</v>
      </c>
      <c r="C56" s="11">
        <v>90</v>
      </c>
      <c r="D56" s="12">
        <v>2.6756000000000002</v>
      </c>
      <c r="E56" s="12">
        <v>2.5840999999999998</v>
      </c>
      <c r="F56" s="39">
        <f t="shared" si="21"/>
        <v>-9.1500000000000359E-2</v>
      </c>
      <c r="G56" s="40">
        <f t="shared" si="22"/>
        <v>9.1500000000000359E-2</v>
      </c>
      <c r="H56" s="41">
        <f t="shared" si="23"/>
        <v>3.4197936911347121E-2</v>
      </c>
      <c r="I56" s="12">
        <v>0</v>
      </c>
      <c r="J56" s="40">
        <f t="shared" si="24"/>
        <v>2.6756000000000002</v>
      </c>
      <c r="K56" s="41">
        <f t="shared" si="25"/>
        <v>1</v>
      </c>
      <c r="L56" s="42">
        <f t="shared" si="26"/>
        <v>2.5840999999999998</v>
      </c>
      <c r="M56" s="12">
        <v>23.719899999999999</v>
      </c>
      <c r="N56" s="12">
        <v>22.845099999999999</v>
      </c>
      <c r="O56" s="39">
        <f t="shared" si="27"/>
        <v>-0.87480000000000047</v>
      </c>
      <c r="P56" s="40">
        <f t="shared" si="28"/>
        <v>0.87480000000000047</v>
      </c>
      <c r="Q56" s="41">
        <f t="shared" si="29"/>
        <v>3.6880425296902622E-2</v>
      </c>
      <c r="R56" s="12">
        <v>-0.7762</v>
      </c>
      <c r="S56" s="40">
        <f t="shared" si="30"/>
        <v>24.496099999999998</v>
      </c>
      <c r="T56" s="41">
        <f t="shared" si="31"/>
        <v>1.0327235780926562</v>
      </c>
      <c r="U56" s="42">
        <f t="shared" si="32"/>
        <v>23.621299999999998</v>
      </c>
      <c r="V56" s="12">
        <v>3.1199999999999999E-2</v>
      </c>
      <c r="W56" s="12">
        <v>2.98E-2</v>
      </c>
      <c r="X56" s="39">
        <f t="shared" si="33"/>
        <v>-1.3999999999999985E-3</v>
      </c>
      <c r="Y56" s="40">
        <f t="shared" si="34"/>
        <v>1.3999999999999985E-3</v>
      </c>
      <c r="Z56" s="41">
        <f t="shared" si="35"/>
        <v>2.3801428085685116E-4</v>
      </c>
      <c r="AA56" s="12">
        <v>0.22</v>
      </c>
      <c r="AB56" s="40">
        <f t="shared" si="36"/>
        <v>0.1888</v>
      </c>
      <c r="AC56" s="41">
        <f t="shared" si="37"/>
        <v>3.2097925875552533E-2</v>
      </c>
      <c r="AD56" s="42">
        <f t="shared" si="38"/>
        <v>0.18740000000000001</v>
      </c>
      <c r="AE56" s="13">
        <f t="shared" si="39"/>
        <v>0.32256666666666695</v>
      </c>
      <c r="AF56" s="40">
        <f t="shared" si="40"/>
        <v>9.1201666666666661</v>
      </c>
      <c r="AG56" s="43">
        <f t="shared" si="41"/>
        <v>2.3772125496368864E-2</v>
      </c>
    </row>
    <row r="57" spans="1:33" ht="21" customHeight="1" x14ac:dyDescent="0.25">
      <c r="A57" s="76" t="s">
        <v>147</v>
      </c>
      <c r="B57" s="67"/>
      <c r="C57" s="67"/>
      <c r="D57" s="16">
        <f t="shared" ref="D57:AG57" si="42">AVERAGE(D5:D56)</f>
        <v>-0.30854615384615386</v>
      </c>
      <c r="E57" s="16">
        <f t="shared" si="42"/>
        <v>-0.29357307692307688</v>
      </c>
      <c r="F57" s="16">
        <f t="shared" si="42"/>
        <v>1.4973076923076922E-2</v>
      </c>
      <c r="G57" s="16">
        <f t="shared" si="42"/>
        <v>5.3046153846153868E-2</v>
      </c>
      <c r="H57" s="44">
        <f t="shared" si="42"/>
        <v>3.7702434264924159E-2</v>
      </c>
      <c r="I57" s="16">
        <f t="shared" si="42"/>
        <v>-0.92739038461538448</v>
      </c>
      <c r="J57" s="16">
        <f t="shared" si="42"/>
        <v>0.93565576923076921</v>
      </c>
      <c r="K57" s="44">
        <f t="shared" si="42"/>
        <v>0.49126801780068197</v>
      </c>
      <c r="L57" s="16">
        <f t="shared" si="42"/>
        <v>0.88260961538461535</v>
      </c>
      <c r="M57" s="16">
        <f t="shared" si="42"/>
        <v>0.54054615384615379</v>
      </c>
      <c r="N57" s="16">
        <f t="shared" si="42"/>
        <v>0.52798846153846146</v>
      </c>
      <c r="O57" s="16">
        <f t="shared" si="42"/>
        <v>-1.2557692307692317E-2</v>
      </c>
      <c r="P57" s="16">
        <f t="shared" si="42"/>
        <v>7.163076923076922E-2</v>
      </c>
      <c r="Q57" s="44">
        <f t="shared" si="42"/>
        <v>3.3755239017035713E-2</v>
      </c>
      <c r="R57" s="16">
        <f t="shared" si="42"/>
        <v>-0.62459807692307701</v>
      </c>
      <c r="S57" s="16">
        <f t="shared" si="42"/>
        <v>2.0637826923076918</v>
      </c>
      <c r="T57" s="44">
        <f t="shared" si="42"/>
        <v>1.5181480358374773</v>
      </c>
      <c r="U57" s="16">
        <f t="shared" si="42"/>
        <v>1.9921519230769233</v>
      </c>
      <c r="V57" s="16">
        <f t="shared" si="42"/>
        <v>0.25899807692307691</v>
      </c>
      <c r="W57" s="16">
        <f t="shared" si="42"/>
        <v>0.25237884615384609</v>
      </c>
      <c r="X57" s="16">
        <f t="shared" si="42"/>
        <v>-6.6192307692307713E-3</v>
      </c>
      <c r="Y57" s="16">
        <f t="shared" si="42"/>
        <v>1.7200000000000003E-2</v>
      </c>
      <c r="Z57" s="44">
        <f t="shared" si="42"/>
        <v>2.6934717150011243E-2</v>
      </c>
      <c r="AA57" s="16">
        <f t="shared" si="42"/>
        <v>0.17769615384615384</v>
      </c>
      <c r="AB57" s="16">
        <f t="shared" si="42"/>
        <v>0.43659807692307695</v>
      </c>
      <c r="AC57" s="44">
        <f t="shared" si="42"/>
        <v>0.68425534787544795</v>
      </c>
      <c r="AD57" s="16">
        <f t="shared" si="42"/>
        <v>0.4193980769230769</v>
      </c>
      <c r="AE57" s="16">
        <f t="shared" si="42"/>
        <v>4.7292307692307696E-2</v>
      </c>
      <c r="AF57" s="16">
        <f t="shared" si="42"/>
        <v>1.1453455128205126</v>
      </c>
      <c r="AG57" s="44">
        <f t="shared" si="42"/>
        <v>3.2797463477323714E-2</v>
      </c>
    </row>
    <row r="58" spans="1:33" ht="21" customHeight="1" x14ac:dyDescent="0.25">
      <c r="A58" s="76" t="s">
        <v>148</v>
      </c>
      <c r="B58" s="67"/>
      <c r="C58" s="67"/>
      <c r="D58" s="16">
        <f t="shared" ref="D58:AG58" si="43">AVERAGE(D12:D56)</f>
        <v>-0.35790000000000005</v>
      </c>
      <c r="E58" s="16">
        <f t="shared" si="43"/>
        <v>-0.34045333333333333</v>
      </c>
      <c r="F58" s="16">
        <f t="shared" si="43"/>
        <v>1.7446666666666655E-2</v>
      </c>
      <c r="G58" s="16">
        <f t="shared" si="43"/>
        <v>6.1153333333333344E-2</v>
      </c>
      <c r="H58" s="44">
        <f t="shared" si="43"/>
        <v>4.3558818915766628E-2</v>
      </c>
      <c r="I58" s="16">
        <f t="shared" si="43"/>
        <v>-1.0716511111111109</v>
      </c>
      <c r="J58" s="16">
        <f t="shared" si="43"/>
        <v>1.0798444444444446</v>
      </c>
      <c r="K58" s="44">
        <f t="shared" si="43"/>
        <v>0.56760816574021811</v>
      </c>
      <c r="L58" s="16">
        <f t="shared" si="43"/>
        <v>1.018691111111111</v>
      </c>
      <c r="M58" s="16">
        <f t="shared" si="43"/>
        <v>0.62349999999999983</v>
      </c>
      <c r="N58" s="16">
        <f t="shared" si="43"/>
        <v>0.60899999999999999</v>
      </c>
      <c r="O58" s="16">
        <f t="shared" si="43"/>
        <v>-1.4500000000000016E-2</v>
      </c>
      <c r="P58" s="16">
        <f t="shared" si="43"/>
        <v>8.2757777777777763E-2</v>
      </c>
      <c r="Q58" s="44">
        <f t="shared" si="43"/>
        <v>3.9005601247166566E-2</v>
      </c>
      <c r="R58" s="16">
        <f t="shared" si="43"/>
        <v>-0.72175777777777783</v>
      </c>
      <c r="S58" s="16">
        <f t="shared" si="43"/>
        <v>2.3836844444444441</v>
      </c>
      <c r="T58" s="44">
        <f t="shared" si="43"/>
        <v>1.7542714771691768</v>
      </c>
      <c r="U58" s="16">
        <f t="shared" si="43"/>
        <v>2.3009266666666672</v>
      </c>
      <c r="V58" s="16">
        <f t="shared" si="43"/>
        <v>0.29704444444444444</v>
      </c>
      <c r="W58" s="16">
        <f t="shared" si="43"/>
        <v>0.28945999999999994</v>
      </c>
      <c r="X58" s="16">
        <f t="shared" si="43"/>
        <v>-7.5844444444444466E-3</v>
      </c>
      <c r="Y58" s="16">
        <f t="shared" si="43"/>
        <v>1.9811111111111116E-2</v>
      </c>
      <c r="Z58" s="44">
        <f t="shared" si="43"/>
        <v>3.1113605827084664E-2</v>
      </c>
      <c r="AA58" s="16">
        <f t="shared" si="43"/>
        <v>0.20533777777777779</v>
      </c>
      <c r="AB58" s="16">
        <f t="shared" si="43"/>
        <v>0.50227111111111122</v>
      </c>
      <c r="AC58" s="44">
        <f t="shared" si="43"/>
        <v>0.79031386800625647</v>
      </c>
      <c r="AD58" s="16">
        <f t="shared" si="43"/>
        <v>0.48246</v>
      </c>
      <c r="AE58" s="16">
        <f t="shared" si="43"/>
        <v>5.457407407407408E-2</v>
      </c>
      <c r="AF58" s="16">
        <f t="shared" si="43"/>
        <v>1.3219333333333332</v>
      </c>
      <c r="AG58" s="44">
        <f t="shared" si="43"/>
        <v>3.7892675330005961E-2</v>
      </c>
    </row>
    <row r="59" spans="1:33" ht="21" customHeight="1" x14ac:dyDescent="0.25">
      <c r="A59" s="76" t="s">
        <v>149</v>
      </c>
      <c r="B59" s="67"/>
      <c r="C59" s="67"/>
      <c r="D59" s="16">
        <f t="shared" ref="D59:AG59" si="44">SQRT(SUMSQ(D5:D56)/COUNT(D5:D56))</f>
        <v>2.3569727194824752</v>
      </c>
      <c r="E59" s="16">
        <f t="shared" si="44"/>
        <v>2.2659731185179921</v>
      </c>
      <c r="F59" s="16">
        <f t="shared" si="44"/>
        <v>9.1596668145651594E-2</v>
      </c>
      <c r="G59" s="16">
        <f t="shared" si="44"/>
        <v>9.1596668145651594E-2</v>
      </c>
      <c r="H59" s="44">
        <f t="shared" si="44"/>
        <v>4.6512428826297567E-2</v>
      </c>
      <c r="I59" s="16">
        <f t="shared" si="44"/>
        <v>1.5259458391563121</v>
      </c>
      <c r="J59" s="16">
        <f t="shared" si="44"/>
        <v>2.0779486346561193</v>
      </c>
      <c r="K59" s="44">
        <f t="shared" si="44"/>
        <v>0.79095441491619911</v>
      </c>
      <c r="L59" s="16">
        <f t="shared" si="44"/>
        <v>1.9930441934677174</v>
      </c>
      <c r="M59" s="16">
        <f t="shared" si="44"/>
        <v>4.3045013108372956</v>
      </c>
      <c r="N59" s="16">
        <f t="shared" si="44"/>
        <v>4.1203452050115335</v>
      </c>
      <c r="O59" s="16">
        <f t="shared" si="44"/>
        <v>0.19183445587677531</v>
      </c>
      <c r="P59" s="16">
        <f t="shared" si="44"/>
        <v>0.19183445587677531</v>
      </c>
      <c r="Q59" s="44">
        <f t="shared" si="44"/>
        <v>4.1702735119724527E-2</v>
      </c>
      <c r="R59" s="16">
        <f t="shared" si="44"/>
        <v>1.0249452044452838</v>
      </c>
      <c r="S59" s="16">
        <f t="shared" si="44"/>
        <v>4.6786452682332662</v>
      </c>
      <c r="T59" s="44">
        <f t="shared" si="44"/>
        <v>2.8457825696315737</v>
      </c>
      <c r="U59" s="16">
        <f t="shared" si="44"/>
        <v>4.5010798607966542</v>
      </c>
      <c r="V59" s="16">
        <f t="shared" si="44"/>
        <v>0.89066330414256634</v>
      </c>
      <c r="W59" s="16">
        <f t="shared" si="44"/>
        <v>0.86207105375993764</v>
      </c>
      <c r="X59" s="16">
        <f t="shared" si="44"/>
        <v>2.9040820077422605E-2</v>
      </c>
      <c r="Y59" s="16">
        <f t="shared" si="44"/>
        <v>2.9040820077422605E-2</v>
      </c>
      <c r="Z59" s="44">
        <f t="shared" si="44"/>
        <v>3.2614674282964461E-2</v>
      </c>
      <c r="AA59" s="16">
        <f t="shared" si="44"/>
        <v>0.29201969506814485</v>
      </c>
      <c r="AB59" s="16">
        <f t="shared" si="44"/>
        <v>0.7960283947148542</v>
      </c>
      <c r="AC59" s="44">
        <f t="shared" si="44"/>
        <v>0.93226241909546104</v>
      </c>
      <c r="AD59" s="16">
        <f t="shared" si="44"/>
        <v>0.76781166297972603</v>
      </c>
      <c r="AE59" s="16">
        <f t="shared" si="44"/>
        <v>8.7563863141167597E-2</v>
      </c>
      <c r="AF59" s="16">
        <f t="shared" si="44"/>
        <v>2.1351893746803494</v>
      </c>
      <c r="AG59" s="44">
        <f t="shared" si="44"/>
        <v>3.7149627513145371E-2</v>
      </c>
    </row>
    <row r="60" spans="1:33" ht="21" customHeight="1" x14ac:dyDescent="0.25">
      <c r="A60" s="76" t="s">
        <v>150</v>
      </c>
      <c r="B60" s="67"/>
      <c r="C60" s="67"/>
      <c r="D60" s="16">
        <f>MAX(MAX(D5:D56), -MIN(D5:D56))</f>
        <v>8.9863999999999997</v>
      </c>
      <c r="E60" s="16">
        <f>MAX(MAX(E5:E56), -MIN(E5:E56))</f>
        <v>8.6213999999999995</v>
      </c>
      <c r="F60" s="16">
        <f>MAX(MAX(F5:F56), -MIN(F5:F56))</f>
        <v>0.36500000000000021</v>
      </c>
      <c r="G60" s="16">
        <f>MAX(G5:G56)</f>
        <v>0.36500000000000021</v>
      </c>
      <c r="H60" s="44">
        <f>MAX(H5:H56)</f>
        <v>0.11319018404907971</v>
      </c>
      <c r="I60" s="16">
        <f>MAX(MAX(I5:I56), -MIN(I5:I56))</f>
        <v>4.63</v>
      </c>
      <c r="J60" s="16">
        <f>MAX(J5:J56)</f>
        <v>8.1310000000000002</v>
      </c>
      <c r="K60" s="44">
        <f>MAX(K5:K56)</f>
        <v>3.719148936170213</v>
      </c>
      <c r="L60" s="16">
        <f>MAX(L5:L56)</f>
        <v>7.8213999999999997</v>
      </c>
      <c r="M60" s="16">
        <f>MAX(MAX(M5:M56), -MIN(M5:M56))</f>
        <v>23.719899999999999</v>
      </c>
      <c r="N60" s="16">
        <f>MAX(MAX(N5:N56), -MIN(N5:N56))</f>
        <v>22.845099999999999</v>
      </c>
      <c r="O60" s="16">
        <f>MAX(MAX(O5:O56), -MIN(O5:O56))</f>
        <v>0.87480000000000047</v>
      </c>
      <c r="P60" s="16">
        <f>MAX(P5:P56)</f>
        <v>0.87480000000000047</v>
      </c>
      <c r="Q60" s="44">
        <f>MAX(Q5:Q56)</f>
        <v>7.7574047954866068E-2</v>
      </c>
      <c r="R60" s="16">
        <f>MAX(MAX(R5:R56), -MIN(R5:R56))</f>
        <v>3.1046999999999998</v>
      </c>
      <c r="S60" s="16">
        <f>MAX(S5:S56)</f>
        <v>24.496099999999998</v>
      </c>
      <c r="T60" s="44">
        <f>MAX(T5:T56)</f>
        <v>14.181929181929181</v>
      </c>
      <c r="U60" s="16">
        <f>MAX(U5:U56)</f>
        <v>23.621299999999998</v>
      </c>
      <c r="V60" s="16">
        <f>MAX(MAX(V5:V56), -MIN(V5:V56))</f>
        <v>3.4174000000000002</v>
      </c>
      <c r="W60" s="16">
        <f>MAX(MAX(W5:W56), -MIN(W5:W56))</f>
        <v>3.2841</v>
      </c>
      <c r="X60" s="16">
        <f>MAX(MAX(X5:X56), -MIN(X5:X56))</f>
        <v>0.1333000000000002</v>
      </c>
      <c r="Y60" s="16">
        <f>MAX(Y5:Y56)</f>
        <v>0.1333000000000002</v>
      </c>
      <c r="Z60" s="44">
        <f>MAX(Z5:Z56)</f>
        <v>8.2697201017811778E-2</v>
      </c>
      <c r="AA60" s="16">
        <f>MAX(MAX(AA5:AA56), -MIN(AA5:AA56))</f>
        <v>0.88</v>
      </c>
      <c r="AB60" s="16">
        <f t="shared" ref="AB60:AG60" si="45">MAX(AB5:AB56)</f>
        <v>3.7019000000000002</v>
      </c>
      <c r="AC60" s="44">
        <f t="shared" si="45"/>
        <v>3.2443095599393019</v>
      </c>
      <c r="AD60" s="16">
        <f t="shared" si="45"/>
        <v>3.5686</v>
      </c>
      <c r="AE60" s="16">
        <f t="shared" si="45"/>
        <v>0.32256666666666695</v>
      </c>
      <c r="AF60" s="16">
        <f t="shared" si="45"/>
        <v>9.1201666666666661</v>
      </c>
      <c r="AG60" s="44">
        <f t="shared" si="45"/>
        <v>9.1153811007252505E-2</v>
      </c>
    </row>
    <row r="61" spans="1:33" ht="21" customHeight="1" x14ac:dyDescent="0.25">
      <c r="A61" s="76" t="s">
        <v>151</v>
      </c>
      <c r="B61" s="67"/>
      <c r="C61" s="67"/>
      <c r="D61" s="16">
        <f t="shared" ref="D61:AG61" si="46">MIN(D5:D56)</f>
        <v>-8.9863999999999997</v>
      </c>
      <c r="E61" s="16">
        <f t="shared" si="46"/>
        <v>-8.6213999999999995</v>
      </c>
      <c r="F61" s="16">
        <f t="shared" si="46"/>
        <v>-0.30960000000000054</v>
      </c>
      <c r="G61" s="16">
        <f t="shared" si="46"/>
        <v>2.0000000000000009E-4</v>
      </c>
      <c r="H61" s="44">
        <f t="shared" si="46"/>
        <v>1.1684017432554015E-5</v>
      </c>
      <c r="I61" s="16">
        <f t="shared" si="46"/>
        <v>-4.63</v>
      </c>
      <c r="J61" s="16">
        <f t="shared" si="46"/>
        <v>1.2000000000000066E-3</v>
      </c>
      <c r="K61" s="44">
        <f t="shared" si="46"/>
        <v>5.0241274959982236E-4</v>
      </c>
      <c r="L61" s="16">
        <f t="shared" si="46"/>
        <v>-4.7999999999999848E-3</v>
      </c>
      <c r="M61" s="16">
        <f t="shared" si="46"/>
        <v>-10.639699999999999</v>
      </c>
      <c r="N61" s="16">
        <f t="shared" si="46"/>
        <v>-9.8542000000000005</v>
      </c>
      <c r="O61" s="16">
        <f t="shared" si="46"/>
        <v>-0.87480000000000047</v>
      </c>
      <c r="P61" s="16">
        <f t="shared" si="46"/>
        <v>9.9999999999999395E-5</v>
      </c>
      <c r="Q61" s="44">
        <f t="shared" si="46"/>
        <v>2.9103947659460351E-6</v>
      </c>
      <c r="R61" s="16">
        <f t="shared" si="46"/>
        <v>-3.1046999999999998</v>
      </c>
      <c r="S61" s="16">
        <f t="shared" si="46"/>
        <v>7.1000000000000004E-3</v>
      </c>
      <c r="T61" s="44">
        <f t="shared" si="46"/>
        <v>2.0663802838216978E-4</v>
      </c>
      <c r="U61" s="16">
        <f t="shared" si="46"/>
        <v>1.8999999999999989E-3</v>
      </c>
      <c r="V61" s="16">
        <f t="shared" si="46"/>
        <v>-3.4174000000000002</v>
      </c>
      <c r="W61" s="16">
        <f t="shared" si="46"/>
        <v>-3.2841</v>
      </c>
      <c r="X61" s="16">
        <f t="shared" si="46"/>
        <v>-6.3400000000000123E-2</v>
      </c>
      <c r="Y61" s="16">
        <f t="shared" si="46"/>
        <v>9.9999999999999395E-5</v>
      </c>
      <c r="Z61" s="44">
        <f t="shared" si="46"/>
        <v>1.7001020061203572E-5</v>
      </c>
      <c r="AA61" s="16">
        <f t="shared" si="46"/>
        <v>0</v>
      </c>
      <c r="AB61" s="16">
        <f t="shared" si="46"/>
        <v>1.0999999999999999E-2</v>
      </c>
      <c r="AC61" s="44">
        <f t="shared" si="46"/>
        <v>1.8701122067324039E-3</v>
      </c>
      <c r="AD61" s="16">
        <f t="shared" si="46"/>
        <v>4.6000000000001595E-3</v>
      </c>
      <c r="AE61" s="16">
        <f t="shared" si="46"/>
        <v>3.3333333333333332E-4</v>
      </c>
      <c r="AF61" s="16">
        <f t="shared" si="46"/>
        <v>0.01</v>
      </c>
      <c r="AG61" s="44">
        <f t="shared" si="46"/>
        <v>2.2215828185788564E-5</v>
      </c>
    </row>
    <row r="62" spans="1:33" ht="21" customHeight="1" x14ac:dyDescent="0.25">
      <c r="A62" s="77" t="s">
        <v>152</v>
      </c>
      <c r="B62" s="65"/>
      <c r="C62" s="65"/>
      <c r="D62" s="20">
        <f>MAX(D5:D56)-MIN(D5:D56)</f>
        <v>17.1174</v>
      </c>
      <c r="E62" s="20">
        <f>MAX(E5:E56)-MIN(E5:E56)</f>
        <v>16.442799999999998</v>
      </c>
      <c r="F62" s="20">
        <f>AVERAGE(F5:F56)</f>
        <v>1.4973076923076922E-2</v>
      </c>
      <c r="G62" s="28">
        <f>G59/$D$62</f>
        <v>5.3510853368882892E-3</v>
      </c>
      <c r="H62" s="28">
        <f>AVERAGE(H5:H56)</f>
        <v>3.7702434264924159E-2</v>
      </c>
      <c r="I62" s="20">
        <f>MAX(I5:I56)-MIN(I5:I56)</f>
        <v>4.63</v>
      </c>
      <c r="J62" s="28">
        <f>J59/$D$62</f>
        <v>0.12139394035636951</v>
      </c>
      <c r="K62" s="28">
        <f>AVERAGE(K5:K56)</f>
        <v>0.49126801780068197</v>
      </c>
      <c r="L62" s="20">
        <f>AVERAGE(L5:L56)</f>
        <v>0.88260961538461535</v>
      </c>
      <c r="M62" s="20">
        <f>MAX(M5:M56)-MIN(M5:M56)</f>
        <v>34.3596</v>
      </c>
      <c r="N62" s="20">
        <f>MAX(N5:N56)-MIN(N5:N56)</f>
        <v>32.699300000000001</v>
      </c>
      <c r="O62" s="20">
        <f>AVERAGE(O5:O56)</f>
        <v>-1.2557692307692317E-2</v>
      </c>
      <c r="P62" s="28">
        <f>P59/$M$62</f>
        <v>5.5831399631187592E-3</v>
      </c>
      <c r="Q62" s="28">
        <f>AVERAGE(Q5:Q56)</f>
        <v>3.3755239017035713E-2</v>
      </c>
      <c r="R62" s="20">
        <f>MAX(R5:R56)-MIN(R5:R56)</f>
        <v>3.1046999999999998</v>
      </c>
      <c r="S62" s="28">
        <f>S59/$M$62</f>
        <v>0.13616704700384363</v>
      </c>
      <c r="T62" s="28">
        <f>AVERAGE(T5:T56)</f>
        <v>1.5181480358374773</v>
      </c>
      <c r="U62" s="20">
        <f>AVERAGE(U5:U56)</f>
        <v>1.9921519230769233</v>
      </c>
      <c r="V62" s="20">
        <f>MAX(V5:V56)-MIN(V5:V56)</f>
        <v>5.8819999999999997</v>
      </c>
      <c r="W62" s="20">
        <f>MAX(W5:W56)-MIN(W5:W56)</f>
        <v>5.6852999999999998</v>
      </c>
      <c r="X62" s="20">
        <f>AVERAGE(X5:X56)</f>
        <v>-6.6192307692307713E-3</v>
      </c>
      <c r="Y62" s="28">
        <f>Y59/$V$62</f>
        <v>4.9372356473006808E-3</v>
      </c>
      <c r="Z62" s="28">
        <f>AVERAGE(Z5:Z56)</f>
        <v>2.6934717150011243E-2</v>
      </c>
      <c r="AA62" s="20">
        <f>MAX(AA5:AA56)-MIN(AA5:AA56)</f>
        <v>0.88</v>
      </c>
      <c r="AB62" s="28">
        <f>AB59/$V$62</f>
        <v>0.13533294707834992</v>
      </c>
      <c r="AC62" s="28">
        <f>AVERAGE(AC5:AC56)</f>
        <v>0.68425534787544795</v>
      </c>
      <c r="AD62" s="20">
        <f>AVERAGE(AD5:AD56)</f>
        <v>0.4193980769230769</v>
      </c>
      <c r="AE62" s="20">
        <f>AVERAGE(AE5:AE56)</f>
        <v>4.7292307692307696E-2</v>
      </c>
      <c r="AF62" s="20">
        <f>AVERAGE(AF5:AF56)</f>
        <v>1.1453455128205126</v>
      </c>
      <c r="AG62" s="28">
        <f>AVERAGE(AG5:AG56)</f>
        <v>3.2797463477323714E-2</v>
      </c>
    </row>
  </sheetData>
  <mergeCells count="13">
    <mergeCell ref="A62:C62"/>
    <mergeCell ref="A3:C3"/>
    <mergeCell ref="D3:L3"/>
    <mergeCell ref="AE3:AG3"/>
    <mergeCell ref="V3:AD3"/>
    <mergeCell ref="A59:C59"/>
    <mergeCell ref="A57:C57"/>
    <mergeCell ref="A1:AG1"/>
    <mergeCell ref="A60:C60"/>
    <mergeCell ref="A61:C61"/>
    <mergeCell ref="A58:C58"/>
    <mergeCell ref="A2:AG2"/>
    <mergeCell ref="M3:U3"/>
  </mergeCells>
  <phoneticPr fontId="1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5"/>
  <sheetViews>
    <sheetView workbookViewId="0"/>
  </sheetViews>
  <sheetFormatPr defaultRowHeight="14" x14ac:dyDescent="0.25"/>
  <cols>
    <col min="1" max="1" width="28" customWidth="1"/>
    <col min="2" max="2" width="19" customWidth="1"/>
    <col min="3" max="3" width="17" customWidth="1"/>
    <col min="4" max="4" width="19" customWidth="1"/>
    <col min="5" max="6" width="20" customWidth="1"/>
    <col min="7" max="7" width="26" customWidth="1"/>
    <col min="8" max="8" width="19" customWidth="1"/>
    <col min="9" max="10" width="20" customWidth="1"/>
    <col min="11" max="11" width="26" customWidth="1"/>
    <col min="12" max="12" width="19" customWidth="1"/>
    <col min="13" max="14" width="20" customWidth="1"/>
    <col min="15" max="15" width="26" customWidth="1"/>
    <col min="16" max="16" width="28" customWidth="1"/>
  </cols>
  <sheetData>
    <row r="1" spans="1:16" ht="30" customHeight="1" x14ac:dyDescent="0.25">
      <c r="A1" s="75" t="s">
        <v>153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</row>
    <row r="3" spans="1:16" ht="30" customHeight="1" x14ac:dyDescent="0.25">
      <c r="A3" s="23" t="s">
        <v>7</v>
      </c>
      <c r="B3" s="23" t="s">
        <v>154</v>
      </c>
      <c r="C3" s="23" t="s">
        <v>9</v>
      </c>
      <c r="D3" s="23" t="s">
        <v>155</v>
      </c>
      <c r="E3" s="23" t="s">
        <v>156</v>
      </c>
      <c r="F3" s="23" t="s">
        <v>157</v>
      </c>
      <c r="G3" s="23" t="s">
        <v>158</v>
      </c>
      <c r="H3" s="23" t="s">
        <v>159</v>
      </c>
      <c r="I3" s="23" t="s">
        <v>160</v>
      </c>
      <c r="J3" s="23" t="s">
        <v>161</v>
      </c>
      <c r="K3" s="23" t="s">
        <v>162</v>
      </c>
      <c r="L3" s="23" t="s">
        <v>163</v>
      </c>
      <c r="M3" s="23" t="s">
        <v>164</v>
      </c>
      <c r="N3" s="23" t="s">
        <v>165</v>
      </c>
      <c r="O3" s="23" t="s">
        <v>166</v>
      </c>
      <c r="P3" s="23" t="s">
        <v>167</v>
      </c>
    </row>
    <row r="4" spans="1:16" ht="20" customHeight="1" x14ac:dyDescent="0.25">
      <c r="A4" s="45" t="s">
        <v>168</v>
      </c>
      <c r="B4" s="46">
        <v>0.25</v>
      </c>
      <c r="C4" s="47">
        <v>0</v>
      </c>
      <c r="D4" s="48">
        <v>-0.27</v>
      </c>
      <c r="E4" s="48">
        <v>-0.28000000000000003</v>
      </c>
      <c r="F4" s="49">
        <f t="shared" ref="F4:F12" si="0">E4-D4</f>
        <v>-1.0000000000000009E-2</v>
      </c>
      <c r="G4" s="49">
        <f t="shared" ref="G4:G12" si="1">ABS(E4-D4)</f>
        <v>1.0000000000000009E-2</v>
      </c>
      <c r="H4" s="48">
        <v>-0.09</v>
      </c>
      <c r="I4" s="48">
        <v>-0.03</v>
      </c>
      <c r="J4" s="49">
        <f t="shared" ref="J4:J12" si="2">I4-H4</f>
        <v>0.06</v>
      </c>
      <c r="K4" s="49">
        <f t="shared" ref="K4:K12" si="3">ABS(I4-H4)</f>
        <v>0.06</v>
      </c>
      <c r="L4" s="48">
        <v>-7.0000000000000007E-2</v>
      </c>
      <c r="M4" s="48">
        <v>-0.02</v>
      </c>
      <c r="N4" s="49">
        <f t="shared" ref="N4:N12" si="4">M4-L4</f>
        <v>0.05</v>
      </c>
      <c r="O4" s="49">
        <f t="shared" ref="O4:O12" si="5">ABS(M4-L4)</f>
        <v>0.05</v>
      </c>
      <c r="P4" s="50">
        <f t="shared" ref="P4:P12" si="6">SQRT(G4^2+K4^2+O4^2)</f>
        <v>7.8740078740118111E-2</v>
      </c>
    </row>
    <row r="5" spans="1:16" ht="20" customHeight="1" x14ac:dyDescent="0.25">
      <c r="A5" s="45" t="s">
        <v>169</v>
      </c>
      <c r="B5" s="46">
        <v>0.25</v>
      </c>
      <c r="C5" s="47">
        <v>45</v>
      </c>
      <c r="D5" s="48">
        <v>-0.22</v>
      </c>
      <c r="E5" s="48">
        <v>-0.2</v>
      </c>
      <c r="F5" s="49">
        <f t="shared" si="0"/>
        <v>1.999999999999999E-2</v>
      </c>
      <c r="G5" s="49">
        <f t="shared" si="1"/>
        <v>1.999999999999999E-2</v>
      </c>
      <c r="H5" s="48">
        <v>0.32</v>
      </c>
      <c r="I5" s="48">
        <v>0.2</v>
      </c>
      <c r="J5" s="49">
        <f t="shared" si="2"/>
        <v>-0.12</v>
      </c>
      <c r="K5" s="49">
        <f t="shared" si="3"/>
        <v>0.12</v>
      </c>
      <c r="L5" s="48">
        <v>0.33</v>
      </c>
      <c r="M5" s="48">
        <v>0.06</v>
      </c>
      <c r="N5" s="49">
        <f t="shared" si="4"/>
        <v>-0.27</v>
      </c>
      <c r="O5" s="49">
        <f t="shared" si="5"/>
        <v>0.27</v>
      </c>
      <c r="P5" s="50">
        <f t="shared" si="6"/>
        <v>0.29614185789921693</v>
      </c>
    </row>
    <row r="6" spans="1:16" ht="20" customHeight="1" x14ac:dyDescent="0.25">
      <c r="A6" s="45" t="s">
        <v>170</v>
      </c>
      <c r="B6" s="46">
        <v>0.25</v>
      </c>
      <c r="C6" s="47">
        <v>90</v>
      </c>
      <c r="D6" s="48">
        <v>-0.01</v>
      </c>
      <c r="E6" s="48">
        <v>-0.01</v>
      </c>
      <c r="F6" s="49">
        <f t="shared" si="0"/>
        <v>0</v>
      </c>
      <c r="G6" s="49">
        <f t="shared" si="1"/>
        <v>0</v>
      </c>
      <c r="H6" s="48">
        <v>0.51</v>
      </c>
      <c r="I6" s="48">
        <v>0.34</v>
      </c>
      <c r="J6" s="49">
        <f t="shared" si="2"/>
        <v>-0.16999999999999998</v>
      </c>
      <c r="K6" s="49">
        <f t="shared" si="3"/>
        <v>0.16999999999999998</v>
      </c>
      <c r="L6" s="48">
        <v>0.56000000000000005</v>
      </c>
      <c r="M6" s="48">
        <v>0.08</v>
      </c>
      <c r="N6" s="49">
        <f t="shared" si="4"/>
        <v>-0.48000000000000004</v>
      </c>
      <c r="O6" s="49">
        <f t="shared" si="5"/>
        <v>0.48000000000000004</v>
      </c>
      <c r="P6" s="50">
        <f t="shared" si="6"/>
        <v>0.50921508225896062</v>
      </c>
    </row>
    <row r="7" spans="1:16" ht="20" customHeight="1" x14ac:dyDescent="0.25">
      <c r="A7" s="45" t="s">
        <v>171</v>
      </c>
      <c r="B7" s="46">
        <v>0.5</v>
      </c>
      <c r="C7" s="47">
        <v>0</v>
      </c>
      <c r="D7" s="48">
        <v>-1.01</v>
      </c>
      <c r="E7" s="48">
        <v>-1.1200000000000001</v>
      </c>
      <c r="F7" s="49">
        <f t="shared" si="0"/>
        <v>-0.1100000000000001</v>
      </c>
      <c r="G7" s="49">
        <f t="shared" si="1"/>
        <v>0.1100000000000001</v>
      </c>
      <c r="H7" s="48">
        <v>-0.23</v>
      </c>
      <c r="I7" s="48">
        <v>-0.11</v>
      </c>
      <c r="J7" s="49">
        <f t="shared" si="2"/>
        <v>0.12000000000000001</v>
      </c>
      <c r="K7" s="49">
        <f t="shared" si="3"/>
        <v>0.12000000000000001</v>
      </c>
      <c r="L7" s="48">
        <v>-0.21</v>
      </c>
      <c r="M7" s="48">
        <v>-0.09</v>
      </c>
      <c r="N7" s="49">
        <f t="shared" si="4"/>
        <v>0.12</v>
      </c>
      <c r="O7" s="49">
        <f t="shared" si="5"/>
        <v>0.12</v>
      </c>
      <c r="P7" s="50">
        <f t="shared" si="6"/>
        <v>0.20223748416156689</v>
      </c>
    </row>
    <row r="8" spans="1:16" ht="20" customHeight="1" x14ac:dyDescent="0.25">
      <c r="A8" s="45" t="s">
        <v>172</v>
      </c>
      <c r="B8" s="46">
        <v>0.5</v>
      </c>
      <c r="C8" s="47">
        <v>45</v>
      </c>
      <c r="D8" s="48">
        <v>-0.69</v>
      </c>
      <c r="E8" s="48">
        <v>-0.8</v>
      </c>
      <c r="F8" s="49">
        <f t="shared" si="0"/>
        <v>-0.1100000000000001</v>
      </c>
      <c r="G8" s="49">
        <f t="shared" si="1"/>
        <v>0.1100000000000001</v>
      </c>
      <c r="H8" s="48">
        <v>0.52</v>
      </c>
      <c r="I8" s="48">
        <v>0.78</v>
      </c>
      <c r="J8" s="49">
        <f t="shared" si="2"/>
        <v>0.26</v>
      </c>
      <c r="K8" s="49">
        <f t="shared" si="3"/>
        <v>0.26</v>
      </c>
      <c r="L8" s="48">
        <v>0.53</v>
      </c>
      <c r="M8" s="48">
        <v>0.22</v>
      </c>
      <c r="N8" s="49">
        <f t="shared" si="4"/>
        <v>-0.31000000000000005</v>
      </c>
      <c r="O8" s="49">
        <f t="shared" si="5"/>
        <v>0.31000000000000005</v>
      </c>
      <c r="P8" s="50">
        <f t="shared" si="6"/>
        <v>0.41928510586473267</v>
      </c>
    </row>
    <row r="9" spans="1:16" ht="20" customHeight="1" x14ac:dyDescent="0.25">
      <c r="A9" s="45" t="s">
        <v>173</v>
      </c>
      <c r="B9" s="46">
        <v>0.5</v>
      </c>
      <c r="C9" s="47">
        <v>90</v>
      </c>
      <c r="D9" s="48">
        <v>-0.21</v>
      </c>
      <c r="E9" s="48">
        <v>-0.03</v>
      </c>
      <c r="F9" s="49">
        <f t="shared" si="0"/>
        <v>0.18</v>
      </c>
      <c r="G9" s="49">
        <f t="shared" si="1"/>
        <v>0.18</v>
      </c>
      <c r="H9" s="48">
        <v>1.28</v>
      </c>
      <c r="I9" s="48">
        <v>1.37</v>
      </c>
      <c r="J9" s="49">
        <f t="shared" si="2"/>
        <v>9.000000000000008E-2</v>
      </c>
      <c r="K9" s="49">
        <f t="shared" si="3"/>
        <v>9.000000000000008E-2</v>
      </c>
      <c r="L9" s="48">
        <v>0.95</v>
      </c>
      <c r="M9" s="48">
        <v>0.31</v>
      </c>
      <c r="N9" s="49">
        <f t="shared" si="4"/>
        <v>-0.6399999999999999</v>
      </c>
      <c r="O9" s="49">
        <f t="shared" si="5"/>
        <v>0.6399999999999999</v>
      </c>
      <c r="P9" s="50">
        <f t="shared" si="6"/>
        <v>0.6708949247087802</v>
      </c>
    </row>
    <row r="10" spans="1:16" ht="20" customHeight="1" x14ac:dyDescent="0.25">
      <c r="A10" s="45" t="s">
        <v>174</v>
      </c>
      <c r="B10" s="46">
        <v>1</v>
      </c>
      <c r="C10" s="47">
        <v>0</v>
      </c>
      <c r="D10" s="48">
        <v>-2.54</v>
      </c>
      <c r="E10" s="48">
        <v>-4.4800000000000004</v>
      </c>
      <c r="F10" s="49">
        <f t="shared" si="0"/>
        <v>-1.9400000000000004</v>
      </c>
      <c r="G10" s="49">
        <f t="shared" si="1"/>
        <v>1.9400000000000004</v>
      </c>
      <c r="H10" s="48">
        <v>-0.82</v>
      </c>
      <c r="I10" s="48">
        <v>-0.45</v>
      </c>
      <c r="J10" s="49">
        <f t="shared" si="2"/>
        <v>0.36999999999999994</v>
      </c>
      <c r="K10" s="49">
        <f t="shared" si="3"/>
        <v>0.36999999999999994</v>
      </c>
      <c r="L10" s="48">
        <v>-0.56999999999999995</v>
      </c>
      <c r="M10" s="48">
        <v>-0.37</v>
      </c>
      <c r="N10" s="49">
        <f t="shared" si="4"/>
        <v>0.19999999999999996</v>
      </c>
      <c r="O10" s="49">
        <f t="shared" si="5"/>
        <v>0.19999999999999996</v>
      </c>
      <c r="P10" s="50">
        <f t="shared" si="6"/>
        <v>1.9850692683128217</v>
      </c>
    </row>
    <row r="11" spans="1:16" ht="20" customHeight="1" x14ac:dyDescent="0.25">
      <c r="A11" s="45" t="s">
        <v>175</v>
      </c>
      <c r="B11" s="46">
        <v>1</v>
      </c>
      <c r="C11" s="47">
        <v>45</v>
      </c>
      <c r="D11" s="48">
        <v>-2.29</v>
      </c>
      <c r="E11" s="48">
        <v>-3.19</v>
      </c>
      <c r="F11" s="49">
        <f t="shared" si="0"/>
        <v>-0.89999999999999991</v>
      </c>
      <c r="G11" s="49">
        <f t="shared" si="1"/>
        <v>0.89999999999999991</v>
      </c>
      <c r="H11" s="48">
        <v>2.13</v>
      </c>
      <c r="I11" s="48">
        <v>3.12</v>
      </c>
      <c r="J11" s="49">
        <f t="shared" si="2"/>
        <v>0.99000000000000021</v>
      </c>
      <c r="K11" s="49">
        <f t="shared" si="3"/>
        <v>0.99000000000000021</v>
      </c>
      <c r="L11" s="48">
        <v>0.35</v>
      </c>
      <c r="M11" s="48">
        <v>0.89</v>
      </c>
      <c r="N11" s="49">
        <f t="shared" si="4"/>
        <v>0.54</v>
      </c>
      <c r="O11" s="49">
        <f t="shared" si="5"/>
        <v>0.54</v>
      </c>
      <c r="P11" s="50">
        <f t="shared" si="6"/>
        <v>1.4428097587693258</v>
      </c>
    </row>
    <row r="12" spans="1:16" ht="20" customHeight="1" x14ac:dyDescent="0.25">
      <c r="A12" s="45" t="s">
        <v>176</v>
      </c>
      <c r="B12" s="46">
        <v>1</v>
      </c>
      <c r="C12" s="47">
        <v>90</v>
      </c>
      <c r="D12" s="48">
        <v>0.01</v>
      </c>
      <c r="E12" s="48">
        <v>-0.11</v>
      </c>
      <c r="F12" s="49">
        <f t="shared" si="0"/>
        <v>-0.12</v>
      </c>
      <c r="G12" s="49">
        <f t="shared" si="1"/>
        <v>0.12</v>
      </c>
      <c r="H12" s="48">
        <v>2.62</v>
      </c>
      <c r="I12" s="48">
        <v>5.47</v>
      </c>
      <c r="J12" s="49">
        <f t="shared" si="2"/>
        <v>2.8499999999999996</v>
      </c>
      <c r="K12" s="49">
        <f t="shared" si="3"/>
        <v>2.8499999999999996</v>
      </c>
      <c r="L12" s="48">
        <v>1.02</v>
      </c>
      <c r="M12" s="48">
        <v>1.23</v>
      </c>
      <c r="N12" s="49">
        <f t="shared" si="4"/>
        <v>0.20999999999999996</v>
      </c>
      <c r="O12" s="49">
        <f t="shared" si="5"/>
        <v>0.20999999999999996</v>
      </c>
      <c r="P12" s="50">
        <f t="shared" si="6"/>
        <v>2.8602447447727264</v>
      </c>
    </row>
    <row r="13" spans="1:16" ht="21" customHeight="1" x14ac:dyDescent="0.3">
      <c r="A13" s="66" t="s">
        <v>177</v>
      </c>
      <c r="B13" s="67"/>
      <c r="C13" s="67"/>
      <c r="D13" s="51">
        <f t="shared" ref="D13:P13" si="7">AVERAGE(D4:D12)</f>
        <v>-0.80333333333333334</v>
      </c>
      <c r="E13" s="51">
        <f t="shared" si="7"/>
        <v>-1.1355555555555554</v>
      </c>
      <c r="F13" s="51">
        <f t="shared" si="7"/>
        <v>-0.33222222222222231</v>
      </c>
      <c r="G13" s="51">
        <f t="shared" si="7"/>
        <v>0.37666666666666671</v>
      </c>
      <c r="H13" s="51">
        <f t="shared" si="7"/>
        <v>0.69333333333333336</v>
      </c>
      <c r="I13" s="51">
        <f t="shared" si="7"/>
        <v>1.1877777777777778</v>
      </c>
      <c r="J13" s="51">
        <f t="shared" si="7"/>
        <v>0.49444444444444446</v>
      </c>
      <c r="K13" s="51">
        <f t="shared" si="7"/>
        <v>0.55888888888888877</v>
      </c>
      <c r="L13" s="51">
        <f t="shared" si="7"/>
        <v>0.32111111111111112</v>
      </c>
      <c r="M13" s="51">
        <f t="shared" si="7"/>
        <v>0.25666666666666665</v>
      </c>
      <c r="N13" s="51">
        <f t="shared" si="7"/>
        <v>-6.4444444444444457E-2</v>
      </c>
      <c r="O13" s="51">
        <f t="shared" si="7"/>
        <v>0.3133333333333333</v>
      </c>
      <c r="P13" s="51">
        <f t="shared" si="7"/>
        <v>0.94051536727647211</v>
      </c>
    </row>
    <row r="14" spans="1:16" ht="21" customHeight="1" x14ac:dyDescent="0.3">
      <c r="A14" s="66" t="s">
        <v>178</v>
      </c>
      <c r="B14" s="67"/>
      <c r="C14" s="67"/>
      <c r="D14" s="51">
        <f t="shared" ref="D14:P14" si="8">SQRT(SUMSQ(D4:D12)/COUNT(D4:D12))</f>
        <v>1.2182637919049661</v>
      </c>
      <c r="E14" s="51">
        <f t="shared" si="8"/>
        <v>1.893626737829349</v>
      </c>
      <c r="F14" s="51">
        <f t="shared" si="8"/>
        <v>0.71841646850710661</v>
      </c>
      <c r="G14" s="51">
        <f t="shared" si="8"/>
        <v>0.71841646850710661</v>
      </c>
      <c r="H14" s="51">
        <f t="shared" si="8"/>
        <v>1.2651745597610895</v>
      </c>
      <c r="I14" s="51">
        <f t="shared" si="8"/>
        <v>2.1733665641631239</v>
      </c>
      <c r="J14" s="51">
        <f t="shared" si="8"/>
        <v>1.0207023725520252</v>
      </c>
      <c r="K14" s="51">
        <f t="shared" si="8"/>
        <v>1.0207023725520252</v>
      </c>
      <c r="L14" s="51">
        <f t="shared" si="8"/>
        <v>0.59092206667959934</v>
      </c>
      <c r="M14" s="51">
        <f t="shared" si="8"/>
        <v>0.53799008664968295</v>
      </c>
      <c r="N14" s="51">
        <f t="shared" si="8"/>
        <v>0.36539172282785926</v>
      </c>
      <c r="O14" s="51">
        <f t="shared" si="8"/>
        <v>0.36539172282785926</v>
      </c>
      <c r="P14" s="51">
        <f t="shared" si="8"/>
        <v>1.3005639802280651</v>
      </c>
    </row>
    <row r="15" spans="1:16" ht="21" customHeight="1" x14ac:dyDescent="0.3">
      <c r="A15" s="64" t="s">
        <v>179</v>
      </c>
      <c r="B15" s="65"/>
      <c r="C15" s="65"/>
      <c r="D15" s="52">
        <f t="shared" ref="D15:P15" si="9">MAX(MAX(D4:D12),-MIN(D4:D12))</f>
        <v>2.54</v>
      </c>
      <c r="E15" s="52">
        <f t="shared" si="9"/>
        <v>4.4800000000000004</v>
      </c>
      <c r="F15" s="52">
        <f t="shared" si="9"/>
        <v>1.9400000000000004</v>
      </c>
      <c r="G15" s="52">
        <f t="shared" si="9"/>
        <v>1.9400000000000004</v>
      </c>
      <c r="H15" s="52">
        <f t="shared" si="9"/>
        <v>2.62</v>
      </c>
      <c r="I15" s="52">
        <f t="shared" si="9"/>
        <v>5.47</v>
      </c>
      <c r="J15" s="52">
        <f t="shared" si="9"/>
        <v>2.8499999999999996</v>
      </c>
      <c r="K15" s="52">
        <f t="shared" si="9"/>
        <v>2.8499999999999996</v>
      </c>
      <c r="L15" s="52">
        <f t="shared" si="9"/>
        <v>1.02</v>
      </c>
      <c r="M15" s="52">
        <f t="shared" si="9"/>
        <v>1.23</v>
      </c>
      <c r="N15" s="52">
        <f t="shared" si="9"/>
        <v>0.6399999999999999</v>
      </c>
      <c r="O15" s="52">
        <f t="shared" si="9"/>
        <v>0.6399999999999999</v>
      </c>
      <c r="P15" s="52">
        <f t="shared" si="9"/>
        <v>2.8602447447727264</v>
      </c>
    </row>
  </sheetData>
  <mergeCells count="4">
    <mergeCell ref="A14:C14"/>
    <mergeCell ref="A1:P1"/>
    <mergeCell ref="A13:C13"/>
    <mergeCell ref="A15:C15"/>
  </mergeCells>
  <phoneticPr fontId="1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8"/>
  <sheetViews>
    <sheetView workbookViewId="0"/>
  </sheetViews>
  <sheetFormatPr defaultRowHeight="14" x14ac:dyDescent="0.25"/>
  <cols>
    <col min="1" max="1" width="15" customWidth="1"/>
    <col min="2" max="2" width="23" customWidth="1"/>
    <col min="3" max="3" width="20" customWidth="1"/>
    <col min="4" max="5" width="28" customWidth="1"/>
    <col min="6" max="6" width="26" customWidth="1"/>
    <col min="7" max="8" width="20" customWidth="1"/>
    <col min="9" max="11" width="21" customWidth="1"/>
    <col min="12" max="12" width="16" customWidth="1"/>
    <col min="13" max="14" width="28" customWidth="1"/>
  </cols>
  <sheetData>
    <row r="1" spans="1:14" ht="30" customHeight="1" x14ac:dyDescent="0.25">
      <c r="A1" s="75" t="s">
        <v>180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</row>
    <row r="3" spans="1:14" ht="30" customHeight="1" x14ac:dyDescent="0.25">
      <c r="A3" s="23" t="s">
        <v>8</v>
      </c>
      <c r="B3" s="23" t="s">
        <v>181</v>
      </c>
      <c r="C3" s="23" t="s">
        <v>182</v>
      </c>
      <c r="D3" s="23" t="s">
        <v>183</v>
      </c>
      <c r="E3" s="23" t="s">
        <v>184</v>
      </c>
      <c r="F3" s="23" t="s">
        <v>185</v>
      </c>
      <c r="G3" s="23" t="s">
        <v>186</v>
      </c>
      <c r="H3" s="23" t="s">
        <v>187</v>
      </c>
      <c r="I3" s="23" t="s">
        <v>188</v>
      </c>
      <c r="J3" s="23" t="s">
        <v>189</v>
      </c>
      <c r="K3" s="23" t="s">
        <v>190</v>
      </c>
      <c r="L3" s="23" t="s">
        <v>191</v>
      </c>
      <c r="M3" s="23" t="s">
        <v>192</v>
      </c>
      <c r="N3" s="23" t="s">
        <v>193</v>
      </c>
    </row>
    <row r="4" spans="1:14" ht="22" customHeight="1" x14ac:dyDescent="0.25">
      <c r="A4" s="53">
        <v>0</v>
      </c>
      <c r="B4" s="45" t="s">
        <v>194</v>
      </c>
      <c r="C4" s="48">
        <v>0.16800000000000001</v>
      </c>
      <c r="D4" s="49">
        <f>0.168+12.714*(A4^2)</f>
        <v>0.16800000000000001</v>
      </c>
      <c r="E4" s="49">
        <f>ABS(C4-D4)</f>
        <v>0</v>
      </c>
      <c r="F4" s="54">
        <f>E4/C4</f>
        <v>0</v>
      </c>
      <c r="G4" s="48">
        <v>0.114</v>
      </c>
      <c r="H4" s="48">
        <v>0.06</v>
      </c>
      <c r="I4" s="50">
        <v>1.6339999999999999</v>
      </c>
      <c r="J4" s="48">
        <v>1.579</v>
      </c>
      <c r="K4" s="48">
        <v>1.052</v>
      </c>
      <c r="L4" s="48">
        <v>6.1539999999999999</v>
      </c>
      <c r="M4" s="55">
        <f>10-I4</f>
        <v>8.3659999999999997</v>
      </c>
      <c r="N4" s="18">
        <f>(10-I4)/10</f>
        <v>0.83660000000000001</v>
      </c>
    </row>
    <row r="5" spans="1:14" ht="22" customHeight="1" x14ac:dyDescent="0.25">
      <c r="A5" s="53">
        <v>0.25</v>
      </c>
      <c r="B5" s="45" t="s">
        <v>195</v>
      </c>
      <c r="C5" s="48">
        <v>1.4390000000000001</v>
      </c>
      <c r="D5" s="49">
        <f>0.168+12.714*(A5^2)</f>
        <v>0.96262500000000006</v>
      </c>
      <c r="E5" s="49">
        <f>ABS(C5-D5)</f>
        <v>0.47637499999999999</v>
      </c>
      <c r="F5" s="54">
        <f>E5/C5</f>
        <v>0.33104586518415563</v>
      </c>
      <c r="G5" s="48">
        <v>0.32900000000000001</v>
      </c>
      <c r="H5" s="48">
        <v>0.222</v>
      </c>
      <c r="I5" s="50">
        <v>2.3199999999999998</v>
      </c>
      <c r="J5" s="48">
        <v>1.633</v>
      </c>
      <c r="K5" s="48">
        <v>1.208</v>
      </c>
      <c r="L5" s="48">
        <v>6.5960000000000001</v>
      </c>
      <c r="M5" s="55">
        <f>10-I5</f>
        <v>7.68</v>
      </c>
      <c r="N5" s="18">
        <f>(10-I5)/10</f>
        <v>0.76800000000000002</v>
      </c>
    </row>
    <row r="6" spans="1:14" ht="22" customHeight="1" x14ac:dyDescent="0.25">
      <c r="A6" s="53">
        <v>0.5</v>
      </c>
      <c r="B6" s="45" t="s">
        <v>196</v>
      </c>
      <c r="C6" s="48">
        <v>3.9809999999999999</v>
      </c>
      <c r="D6" s="49">
        <f>0.168+12.714*(A6^2)</f>
        <v>3.3465000000000003</v>
      </c>
      <c r="E6" s="49">
        <f>ABS(C6-D6)</f>
        <v>0.63449999999999962</v>
      </c>
      <c r="F6" s="54">
        <f>E6/C6</f>
        <v>0.15938206480783715</v>
      </c>
      <c r="G6" s="48">
        <v>0.63700000000000001</v>
      </c>
      <c r="H6" s="48">
        <v>0.55700000000000005</v>
      </c>
      <c r="I6" s="50">
        <v>4.4980000000000002</v>
      </c>
      <c r="J6" s="48">
        <v>1.8149999999999999</v>
      </c>
      <c r="K6" s="48">
        <v>1.518</v>
      </c>
      <c r="L6" s="48">
        <v>10.842000000000001</v>
      </c>
      <c r="M6" s="55">
        <f>10-I6</f>
        <v>5.5019999999999998</v>
      </c>
      <c r="N6" s="18">
        <f>(10-I6)/10</f>
        <v>0.55020000000000002</v>
      </c>
    </row>
    <row r="7" spans="1:14" ht="22" customHeight="1" x14ac:dyDescent="0.25">
      <c r="A7" s="53">
        <v>0.75</v>
      </c>
      <c r="B7" s="45" t="s">
        <v>197</v>
      </c>
      <c r="C7" s="48">
        <v>7.7960000000000003</v>
      </c>
      <c r="D7" s="49">
        <f>0.168+12.714*(A7^2)</f>
        <v>7.3196250000000003</v>
      </c>
      <c r="E7" s="49">
        <f>ABS(C7-D7)</f>
        <v>0.47637499999999999</v>
      </c>
      <c r="F7" s="54">
        <f>E7/C7</f>
        <v>6.1105053873781422E-2</v>
      </c>
      <c r="G7" s="48">
        <v>1.0249999999999999</v>
      </c>
      <c r="H7" s="48">
        <v>1.1200000000000001</v>
      </c>
      <c r="I7" s="50">
        <v>8.125</v>
      </c>
      <c r="J7" s="48">
        <v>2.1339999999999999</v>
      </c>
      <c r="K7" s="48">
        <v>2.0379999999999998</v>
      </c>
      <c r="L7" s="48">
        <v>20.378</v>
      </c>
      <c r="M7" s="55">
        <f>10-I7</f>
        <v>1.875</v>
      </c>
      <c r="N7" s="18">
        <f>(10-I7)/10</f>
        <v>0.1875</v>
      </c>
    </row>
    <row r="8" spans="1:14" ht="22" customHeight="1" x14ac:dyDescent="0.25">
      <c r="A8" s="53">
        <v>1</v>
      </c>
      <c r="B8" s="45" t="s">
        <v>198</v>
      </c>
      <c r="C8" s="48">
        <v>12.882</v>
      </c>
      <c r="D8" s="49">
        <f>0.168+12.714*(A8^2)</f>
        <v>12.882</v>
      </c>
      <c r="E8" s="49">
        <f>ABS(C8-D8)</f>
        <v>0</v>
      </c>
      <c r="F8" s="54">
        <f>E8/C8</f>
        <v>0</v>
      </c>
      <c r="G8" s="48">
        <v>1.492</v>
      </c>
      <c r="H8" s="48">
        <v>1.9239999999999999</v>
      </c>
      <c r="I8" s="56">
        <v>13.111000000000001</v>
      </c>
      <c r="J8" s="48">
        <v>2.5649999999999999</v>
      </c>
      <c r="K8" s="48">
        <v>2.8119999999999998</v>
      </c>
      <c r="L8" s="48">
        <v>33.734999999999999</v>
      </c>
      <c r="M8" s="56">
        <f>10-I8</f>
        <v>-3.1110000000000007</v>
      </c>
      <c r="N8" s="57">
        <f>(10-I8)/10</f>
        <v>-0.31110000000000004</v>
      </c>
    </row>
  </sheetData>
  <mergeCells count="1">
    <mergeCell ref="A1:N1"/>
  </mergeCells>
  <phoneticPr fontId="1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8"/>
  <sheetViews>
    <sheetView workbookViewId="0"/>
  </sheetViews>
  <sheetFormatPr defaultRowHeight="14" x14ac:dyDescent="0.25"/>
  <cols>
    <col min="1" max="1" width="17" customWidth="1"/>
    <col min="2" max="2" width="25" customWidth="1"/>
    <col min="3" max="3" width="20" customWidth="1"/>
    <col min="4" max="4" width="28" customWidth="1"/>
    <col min="5" max="5" width="19" customWidth="1"/>
    <col min="6" max="6" width="20" customWidth="1"/>
    <col min="7" max="7" width="28" customWidth="1"/>
    <col min="8" max="9" width="20" customWidth="1"/>
    <col min="10" max="12" width="21" customWidth="1"/>
    <col min="13" max="13" width="28" customWidth="1"/>
    <col min="14" max="14" width="27" customWidth="1"/>
  </cols>
  <sheetData>
    <row r="1" spans="1:14" ht="30" customHeight="1" x14ac:dyDescent="0.25">
      <c r="A1" s="75" t="s">
        <v>199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</row>
    <row r="3" spans="1:14" ht="30" customHeight="1" x14ac:dyDescent="0.25">
      <c r="A3" s="23" t="s">
        <v>9</v>
      </c>
      <c r="B3" s="23" t="s">
        <v>200</v>
      </c>
      <c r="C3" s="23" t="s">
        <v>182</v>
      </c>
      <c r="D3" s="23" t="s">
        <v>201</v>
      </c>
      <c r="E3" s="23" t="s">
        <v>202</v>
      </c>
      <c r="F3" s="23" t="s">
        <v>186</v>
      </c>
      <c r="G3" s="23" t="s">
        <v>203</v>
      </c>
      <c r="H3" s="23" t="s">
        <v>204</v>
      </c>
      <c r="I3" s="23" t="s">
        <v>187</v>
      </c>
      <c r="J3" s="23" t="s">
        <v>188</v>
      </c>
      <c r="K3" s="23" t="s">
        <v>189</v>
      </c>
      <c r="L3" s="23" t="s">
        <v>190</v>
      </c>
      <c r="M3" s="23" t="s">
        <v>205</v>
      </c>
      <c r="N3" s="23" t="s">
        <v>206</v>
      </c>
    </row>
    <row r="4" spans="1:14" ht="22" customHeight="1" x14ac:dyDescent="0.3">
      <c r="A4" s="58">
        <v>0</v>
      </c>
      <c r="B4" s="59" t="s">
        <v>207</v>
      </c>
      <c r="C4" s="48">
        <v>3.9809999999999999</v>
      </c>
      <c r="D4" s="49">
        <f>C4-$C$4</f>
        <v>0</v>
      </c>
      <c r="E4" s="54">
        <f>(C4-$C$4)/$C$4</f>
        <v>0</v>
      </c>
      <c r="F4" s="48">
        <v>0.63700000000000001</v>
      </c>
      <c r="G4" s="49">
        <f>F4-$F$4</f>
        <v>0</v>
      </c>
      <c r="H4" s="54">
        <f>(F4-$F$4)/$F$4</f>
        <v>0</v>
      </c>
      <c r="I4" s="48">
        <v>0.55700000000000005</v>
      </c>
      <c r="J4" s="48">
        <v>4.4980000000000002</v>
      </c>
      <c r="K4" s="48">
        <v>1.8149999999999999</v>
      </c>
      <c r="L4" s="48">
        <v>1.518</v>
      </c>
      <c r="M4" s="50">
        <f>F4/C4</f>
        <v>0.16001004772670185</v>
      </c>
      <c r="N4" s="45" t="s">
        <v>208</v>
      </c>
    </row>
    <row r="5" spans="1:14" ht="22" customHeight="1" x14ac:dyDescent="0.3">
      <c r="A5" s="58">
        <v>30</v>
      </c>
      <c r="B5" s="59" t="s">
        <v>209</v>
      </c>
      <c r="C5" s="48">
        <v>3.4780000000000002</v>
      </c>
      <c r="D5" s="49">
        <f>C5-$C$4</f>
        <v>-0.50299999999999967</v>
      </c>
      <c r="E5" s="54">
        <f>(C5-$C$4)/$C$4</f>
        <v>-0.12635016327555881</v>
      </c>
      <c r="F5" s="48">
        <v>1.7789999999999999</v>
      </c>
      <c r="G5" s="49">
        <f>F5-$F$4</f>
        <v>1.1419999999999999</v>
      </c>
      <c r="H5" s="54">
        <f>(F5-$F$4)/$F$4</f>
        <v>1.7927786499215068</v>
      </c>
      <c r="I5" s="48">
        <v>0.57099999999999995</v>
      </c>
      <c r="J5" s="48">
        <v>4.0579999999999998</v>
      </c>
      <c r="K5" s="48">
        <v>2.6779999999999999</v>
      </c>
      <c r="L5" s="48">
        <v>1.3129999999999999</v>
      </c>
      <c r="M5" s="50">
        <f>F5/C5</f>
        <v>0.51150086256469229</v>
      </c>
      <c r="N5" s="45" t="s">
        <v>210</v>
      </c>
    </row>
    <row r="6" spans="1:14" ht="22" customHeight="1" x14ac:dyDescent="0.3">
      <c r="A6" s="58">
        <v>45</v>
      </c>
      <c r="B6" s="59" t="s">
        <v>211</v>
      </c>
      <c r="C6" s="48">
        <v>2.9039999999999999</v>
      </c>
      <c r="D6" s="49">
        <f>C6-$C$4</f>
        <v>-1.077</v>
      </c>
      <c r="E6" s="54">
        <f>(C6-$C$4)/$C$4</f>
        <v>-0.27053504144687263</v>
      </c>
      <c r="F6" s="48">
        <v>2.2570000000000001</v>
      </c>
      <c r="G6" s="49">
        <f>F6-$F$4</f>
        <v>1.62</v>
      </c>
      <c r="H6" s="54">
        <f>(F6-$F$4)/$F$4</f>
        <v>2.5431711145996863</v>
      </c>
      <c r="I6" s="48">
        <v>0.55600000000000005</v>
      </c>
      <c r="J6" s="48">
        <v>3.569</v>
      </c>
      <c r="K6" s="48">
        <v>3.0760000000000001</v>
      </c>
      <c r="L6" s="48">
        <v>1.1879999999999999</v>
      </c>
      <c r="M6" s="50">
        <f>F6/C6</f>
        <v>0.77720385674931136</v>
      </c>
      <c r="N6" s="45" t="s">
        <v>212</v>
      </c>
    </row>
    <row r="7" spans="1:14" ht="22" customHeight="1" x14ac:dyDescent="0.3">
      <c r="A7" s="58">
        <v>60</v>
      </c>
      <c r="B7" s="59" t="s">
        <v>213</v>
      </c>
      <c r="C7" s="48">
        <v>2.1920000000000002</v>
      </c>
      <c r="D7" s="49">
        <f>C7-$C$4</f>
        <v>-1.7889999999999997</v>
      </c>
      <c r="E7" s="54">
        <f>(C7-$C$4)/$C$4</f>
        <v>-0.4493845767395126</v>
      </c>
      <c r="F7" s="48">
        <v>2.5960000000000001</v>
      </c>
      <c r="G7" s="49">
        <f>F7-$F$4</f>
        <v>1.9590000000000001</v>
      </c>
      <c r="H7" s="54">
        <f>(F7-$F$4)/$F$4</f>
        <v>3.0753532182103611</v>
      </c>
      <c r="I7" s="48">
        <v>0.503</v>
      </c>
      <c r="J7" s="48">
        <v>2.9830000000000001</v>
      </c>
      <c r="K7" s="48">
        <v>3.359</v>
      </c>
      <c r="L7" s="48">
        <v>1.073</v>
      </c>
      <c r="M7" s="50">
        <f>F7/C7</f>
        <v>1.1843065693430657</v>
      </c>
      <c r="N7" s="45" t="s">
        <v>214</v>
      </c>
    </row>
    <row r="8" spans="1:14" ht="22" customHeight="1" x14ac:dyDescent="0.3">
      <c r="A8" s="58">
        <v>90</v>
      </c>
      <c r="B8" s="59" t="s">
        <v>215</v>
      </c>
      <c r="C8" s="48">
        <v>0.65700000000000003</v>
      </c>
      <c r="D8" s="49">
        <f>C8-$C$4</f>
        <v>-3.3239999999999998</v>
      </c>
      <c r="E8" s="54">
        <f>(C8-$C$4)/$C$4</f>
        <v>-0.83496608892238133</v>
      </c>
      <c r="F8" s="48">
        <v>2.7370000000000001</v>
      </c>
      <c r="G8" s="49">
        <f>F8-$F$4</f>
        <v>2.1</v>
      </c>
      <c r="H8" s="54">
        <f>(F8-$F$4)/$F$4</f>
        <v>3.296703296703297</v>
      </c>
      <c r="I8" s="48">
        <v>0.39900000000000002</v>
      </c>
      <c r="J8" s="48">
        <v>1.7649999999999999</v>
      </c>
      <c r="K8" s="48">
        <v>3.4289999999999998</v>
      </c>
      <c r="L8" s="48">
        <v>0.92900000000000005</v>
      </c>
      <c r="M8" s="50">
        <f>F8/C8</f>
        <v>4.1659056316590561</v>
      </c>
      <c r="N8" s="45" t="s">
        <v>214</v>
      </c>
    </row>
  </sheetData>
  <mergeCells count="1">
    <mergeCell ref="A1:N1"/>
  </mergeCells>
  <phoneticPr fontId="1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6"/>
  <sheetViews>
    <sheetView workbookViewId="0"/>
  </sheetViews>
  <sheetFormatPr defaultRowHeight="14" x14ac:dyDescent="0.25"/>
  <cols>
    <col min="1" max="1" width="24" customWidth="1"/>
    <col min="2" max="2" width="19" customWidth="1"/>
    <col min="3" max="5" width="16" customWidth="1"/>
    <col min="6" max="9" width="28" customWidth="1"/>
    <col min="10" max="10" width="22" customWidth="1"/>
    <col min="11" max="11" width="27" customWidth="1"/>
    <col min="12" max="12" width="28" customWidth="1"/>
  </cols>
  <sheetData>
    <row r="1" spans="1:12" ht="30" customHeight="1" x14ac:dyDescent="0.25">
      <c r="A1" s="75" t="s">
        <v>216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</row>
    <row r="3" spans="1:12" ht="30" customHeight="1" x14ac:dyDescent="0.25">
      <c r="A3" s="23" t="s">
        <v>217</v>
      </c>
      <c r="B3" s="23" t="s">
        <v>218</v>
      </c>
      <c r="C3" s="23" t="s">
        <v>219</v>
      </c>
      <c r="D3" s="23" t="s">
        <v>220</v>
      </c>
      <c r="E3" s="23" t="s">
        <v>221</v>
      </c>
      <c r="F3" s="23" t="s">
        <v>222</v>
      </c>
      <c r="G3" s="23" t="s">
        <v>223</v>
      </c>
      <c r="H3" s="23" t="s">
        <v>224</v>
      </c>
      <c r="I3" s="23" t="s">
        <v>225</v>
      </c>
      <c r="J3" s="23" t="s">
        <v>226</v>
      </c>
      <c r="K3" s="23" t="s">
        <v>227</v>
      </c>
      <c r="L3" s="23" t="s">
        <v>228</v>
      </c>
    </row>
    <row r="4" spans="1:12" ht="24" customHeight="1" x14ac:dyDescent="0.3">
      <c r="A4" s="59" t="s">
        <v>229</v>
      </c>
      <c r="B4" s="60" t="s">
        <v>230</v>
      </c>
      <c r="C4" s="61">
        <v>0.1469</v>
      </c>
      <c r="D4" s="61">
        <v>0.1469</v>
      </c>
      <c r="E4" s="61">
        <v>0.24479999999999999</v>
      </c>
      <c r="F4" s="61">
        <v>2.29E-2</v>
      </c>
      <c r="G4" s="61">
        <v>2.2599999999999999E-2</v>
      </c>
      <c r="H4" s="61">
        <v>2.1100000000000001E-2</v>
      </c>
      <c r="I4" s="62">
        <f>(G4-F4)/F4</f>
        <v>-1.310043668122278E-2</v>
      </c>
      <c r="J4" s="63">
        <v>1.1000000000000001</v>
      </c>
      <c r="K4" s="63">
        <v>0.72</v>
      </c>
      <c r="L4" s="62">
        <f>(K4-J4)/J4</f>
        <v>-0.34545454545454551</v>
      </c>
    </row>
    <row r="5" spans="1:12" ht="24" customHeight="1" x14ac:dyDescent="0.3">
      <c r="A5" s="59" t="s">
        <v>231</v>
      </c>
      <c r="B5" s="60" t="s">
        <v>232</v>
      </c>
      <c r="C5" s="61">
        <v>0.12</v>
      </c>
      <c r="D5" s="61">
        <v>0.14499999999999999</v>
      </c>
      <c r="E5" s="61">
        <v>0.49099999999999999</v>
      </c>
      <c r="F5" s="61">
        <v>4.4200000000000003E-2</v>
      </c>
      <c r="G5" s="61">
        <v>3.6499999999999998E-2</v>
      </c>
      <c r="H5" s="61">
        <v>1.14E-2</v>
      </c>
      <c r="I5" s="62">
        <f>(G5-F5)/F5</f>
        <v>-0.17420814479638019</v>
      </c>
      <c r="J5" s="63">
        <v>1.18</v>
      </c>
      <c r="K5" s="63">
        <v>0.66</v>
      </c>
      <c r="L5" s="62">
        <f>(K5-J5)/J5</f>
        <v>-0.44067796610169485</v>
      </c>
    </row>
    <row r="6" spans="1:12" ht="24" customHeight="1" x14ac:dyDescent="0.3">
      <c r="A6" s="59" t="s">
        <v>233</v>
      </c>
      <c r="B6" s="60" t="s">
        <v>234</v>
      </c>
      <c r="C6" s="61">
        <v>0.106</v>
      </c>
      <c r="D6" s="61">
        <v>0.15659999999999999</v>
      </c>
      <c r="E6" s="61">
        <v>0.43099999999999999</v>
      </c>
      <c r="F6" s="61">
        <v>3.3799999999999997E-2</v>
      </c>
      <c r="G6" s="61">
        <v>2.7300000000000001E-2</v>
      </c>
      <c r="H6" s="61">
        <v>1.24E-2</v>
      </c>
      <c r="I6" s="62">
        <f>(G6-F6)/F6</f>
        <v>-0.19230769230769218</v>
      </c>
      <c r="J6" s="63">
        <v>1.1499999999999999</v>
      </c>
      <c r="K6" s="63">
        <v>0.63</v>
      </c>
      <c r="L6" s="62">
        <f>(K6-J6)/J6</f>
        <v>-0.4521739130434782</v>
      </c>
    </row>
  </sheetData>
  <mergeCells count="1">
    <mergeCell ref="A1:L1"/>
  </mergeCells>
  <phoneticPr fontId="1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0_MATLAB与CFD偏差专表</vt:lpstr>
      <vt:lpstr>1_偏差统计总览_KPI</vt:lpstr>
      <vt:lpstr>2_52组全量工况与偏差明细</vt:lpstr>
      <vt:lpstr>3_9组全因子CFD交叉验证表</vt:lpstr>
      <vt:lpstr>4_流速灵敏度与二次方拟合偏差</vt:lpstr>
      <vt:lpstr>5_流向方位角耦合与转移偏差</vt:lpstr>
      <vt:lpstr>6_CAD迎水面积与Cd标定偏差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eng kin</cp:lastModifiedBy>
  <dcterms:created xsi:type="dcterms:W3CDTF">2026-09-28T07:34:38Z</dcterms:created>
  <dcterms:modified xsi:type="dcterms:W3CDTF">2026-09-28T07:34:55Z</dcterms:modified>
</cp:coreProperties>
</file>